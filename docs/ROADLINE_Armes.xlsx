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mes" sheetId="1" state="visible" r:id="rId1"/>
    <sheet name="Munitions" sheetId="2" state="visible" r:id="rId2"/>
    <sheet name="Accessoires" sheetId="3" state="visible" r:id="rId3"/>
    <sheet name="Résumé" sheetId="4" state="visible" r:id="rId4"/>
  </sheets>
  <definedNames>
    <definedName name="_xlnm._FilterDatabase" localSheetId="0" hidden="1">'Armes'!$A$1:$G$109</definedName>
    <definedName name="_xlnm._FilterDatabase" localSheetId="1" hidden="1">'Munitions'!$A$1:$F$20</definedName>
    <definedName name="_xlnm._FilterDatabase" localSheetId="2" hidden="1">'Accessoires'!$A$1:$E$71</definedName>
  </definedNames>
  <calcPr calcId="124519" fullCalcOnLoad="1"/>
</workbook>
</file>

<file path=xl/styles.xml><?xml version="1.0" encoding="utf-8"?>
<styleSheet xmlns="http://schemas.openxmlformats.org/spreadsheetml/2006/main">
  <numFmts count="1">
    <numFmt numFmtId="164" formatCode="#,##0 &quot;$&quot;"/>
  </numFmts>
  <fonts count="6">
    <font>
      <name val="Calibri"/>
      <family val="2"/>
      <color theme="1"/>
      <sz val="11"/>
      <scheme val="minor"/>
    </font>
    <font>
      <name val="Arial"/>
      <b val="1"/>
      <color rgb="00FFFFFF"/>
      <sz val="10"/>
    </font>
    <font>
      <name val="Arial"/>
      <sz val="10"/>
    </font>
    <font>
      <name val="Arial"/>
      <i val="1"/>
      <color rgb="00666666"/>
      <sz val="9"/>
    </font>
    <font>
      <name val="Arial"/>
      <b val="1"/>
      <sz val="12"/>
    </font>
    <font>
      <name val="Arial"/>
      <b val="1"/>
      <sz val="10"/>
    </font>
  </fonts>
  <fills count="4">
    <fill>
      <patternFill/>
    </fill>
    <fill>
      <patternFill patternType="gray125"/>
    </fill>
    <fill>
      <patternFill patternType="solid">
        <fgColor rgb="002A1440"/>
      </patternFill>
    </fill>
    <fill>
      <patternFill patternType="solid">
        <fgColor rgb="00F6F1FC"/>
      </patternFill>
    </fill>
  </fills>
  <borders count="2">
    <border>
      <left/>
      <right/>
      <top/>
      <bottom/>
      <diagonal/>
    </border>
    <border>
      <left style="thin">
        <color rgb="00D9CFE8"/>
      </left>
      <right style="thin">
        <color rgb="00D9CFE8"/>
      </right>
      <top style="thin">
        <color rgb="00D9CFE8"/>
      </top>
      <bottom style="thin">
        <color rgb="00D9CFE8"/>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3" borderId="1" pivotButton="0" quotePrefix="0" xfId="0"/>
    <xf numFmtId="164" fontId="2" fillId="3" borderId="1" pivotButton="0" quotePrefix="0" xfId="0"/>
    <xf numFmtId="0" fontId="2" fillId="0" borderId="1" pivotButton="0" quotePrefix="0" xfId="0"/>
    <xf numFmtId="164" fontId="2" fillId="0" borderId="1" pivotButton="0" quotePrefix="0" xfId="0"/>
    <xf numFmtId="0" fontId="3" fillId="0" borderId="0" pivotButton="0" quotePrefix="0" xfId="0"/>
    <xf numFmtId="0" fontId="4" fillId="0" borderId="0" pivotButton="0" quotePrefix="0" xfId="0"/>
    <xf numFmtId="0" fontId="2" fillId="0" borderId="0" pivotButton="0" quotePrefix="0" xfId="0"/>
    <xf numFmtId="1" fontId="5"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2" customWidth="1" min="3" max="3"/>
    <col width="26" customWidth="1" min="4" max="4"/>
    <col width="11" customWidth="1" min="5" max="5"/>
    <col width="58" customWidth="1" min="6" max="6"/>
    <col width="11" customWidth="1" min="7" max="7"/>
  </cols>
  <sheetData>
    <row r="1" ht="30" customHeight="1">
      <c r="A1" s="1" t="inlineStr">
        <is>
          <t>Arme</t>
        </is>
      </c>
      <c r="B1" s="1" t="inlineStr">
        <is>
          <t>Code</t>
        </is>
      </c>
      <c r="C1" s="1" t="inlineStr">
        <is>
          <t>Catégorie</t>
        </is>
      </c>
      <c r="D1" s="1" t="inlineStr">
        <is>
          <t>Munition</t>
        </is>
      </c>
      <c r="E1" s="1" t="inlineStr">
        <is>
          <t>Poids (kg)</t>
        </is>
      </c>
      <c r="F1" s="1" t="inlineStr">
        <is>
          <t>Où l'acheter</t>
        </is>
      </c>
      <c r="G1" s="1" t="inlineStr">
        <is>
          <t>Prix</t>
        </is>
      </c>
    </row>
    <row r="2">
      <c r="A2" s="2" t="inlineStr">
        <is>
          <t>Batte de baseball</t>
        </is>
      </c>
      <c r="B2" s="2" t="inlineStr">
        <is>
          <t>WEAPON_BAT</t>
        </is>
      </c>
      <c r="C2" s="2" t="inlineStr">
        <is>
          <t>Arme blanche</t>
        </is>
      </c>
      <c r="D2" s="2" t="inlineStr">
        <is>
          <t>—</t>
        </is>
      </c>
      <c r="E2" s="2" t="n">
        <v>1.13</v>
      </c>
      <c r="F2" s="2" t="inlineStr">
        <is>
          <t>Ammu-Nation 100 $ (sans permis)</t>
        </is>
      </c>
      <c r="G2" s="3" t="n">
        <v>100</v>
      </c>
    </row>
    <row r="3">
      <c r="A3" s="4" t="inlineStr">
        <is>
          <t>Bouteille cassée</t>
        </is>
      </c>
      <c r="B3" s="4" t="inlineStr">
        <is>
          <t>WEAPON_BOTTLE</t>
        </is>
      </c>
      <c r="C3" s="4" t="inlineStr">
        <is>
          <t>Arme blanche</t>
        </is>
      </c>
      <c r="D3" s="4" t="inlineStr">
        <is>
          <t>—</t>
        </is>
      </c>
      <c r="E3" s="4" t="n">
        <v>0.35</v>
      </c>
      <c r="F3" s="4" t="inlineStr">
        <is>
          <t>Non vendu (saisie, police, staff)</t>
        </is>
      </c>
      <c r="G3" s="4" t="n"/>
    </row>
    <row r="4">
      <c r="A4" s="2" t="inlineStr">
        <is>
          <t>Club de golf</t>
        </is>
      </c>
      <c r="B4" s="2" t="inlineStr">
        <is>
          <t>WEAPON_GOLFCLUB</t>
        </is>
      </c>
      <c r="C4" s="2" t="inlineStr">
        <is>
          <t>Arme blanche</t>
        </is>
      </c>
      <c r="D4" s="2" t="inlineStr">
        <is>
          <t>—</t>
        </is>
      </c>
      <c r="E4" s="2" t="n">
        <v>0.33</v>
      </c>
      <c r="F4" s="2" t="inlineStr">
        <is>
          <t>Non vendu (saisie, police, staff)</t>
        </is>
      </c>
      <c r="G4" s="2" t="n"/>
    </row>
    <row r="5">
      <c r="A5" s="4" t="inlineStr">
        <is>
          <t>Clé à molette</t>
        </is>
      </c>
      <c r="B5" s="4" t="inlineStr">
        <is>
          <t>WEAPON_WRENCH</t>
        </is>
      </c>
      <c r="C5" s="4" t="inlineStr">
        <is>
          <t>Arme blanche</t>
        </is>
      </c>
      <c r="D5" s="4" t="inlineStr">
        <is>
          <t>—</t>
        </is>
      </c>
      <c r="E5" s="4" t="n">
        <v>2.5</v>
      </c>
      <c r="F5" s="4" t="inlineStr">
        <is>
          <t>Non vendu (saisie, police, staff)</t>
        </is>
      </c>
      <c r="G5" s="4" t="n"/>
    </row>
    <row r="6">
      <c r="A6" s="2" t="inlineStr">
        <is>
          <t>Couteau</t>
        </is>
      </c>
      <c r="B6" s="2" t="inlineStr">
        <is>
          <t>WEAPON_KNIFE</t>
        </is>
      </c>
      <c r="C6" s="2" t="inlineStr">
        <is>
          <t>Arme blanche</t>
        </is>
      </c>
      <c r="D6" s="2" t="inlineStr">
        <is>
          <t>—</t>
        </is>
      </c>
      <c r="E6" s="2" t="n">
        <v>0.3</v>
      </c>
      <c r="F6" s="2" t="inlineStr">
        <is>
          <t>Ammu-Nation 200 $ (sans permis)</t>
        </is>
      </c>
      <c r="G6" s="3" t="n">
        <v>200</v>
      </c>
    </row>
    <row r="7">
      <c r="A7" s="4" t="inlineStr">
        <is>
          <t>Couteau à cran d'arrêt</t>
        </is>
      </c>
      <c r="B7" s="4" t="inlineStr">
        <is>
          <t>WEAPON_SWITCHBLADE</t>
        </is>
      </c>
      <c r="C7" s="4" t="inlineStr">
        <is>
          <t>Arme blanche</t>
        </is>
      </c>
      <c r="D7" s="4" t="inlineStr">
        <is>
          <t>—</t>
        </is>
      </c>
      <c r="E7" s="4" t="n">
        <v>0.3</v>
      </c>
      <c r="F7" s="4" t="inlineStr">
        <is>
          <t>Non vendu (saisie, police, staff)</t>
        </is>
      </c>
      <c r="G7" s="4" t="n"/>
    </row>
    <row r="8">
      <c r="A8" s="2" t="inlineStr">
        <is>
          <t>Dague</t>
        </is>
      </c>
      <c r="B8" s="2" t="inlineStr">
        <is>
          <t>WEAPON_DAGGER</t>
        </is>
      </c>
      <c r="C8" s="2" t="inlineStr">
        <is>
          <t>Arme blanche</t>
        </is>
      </c>
      <c r="D8" s="2" t="inlineStr">
        <is>
          <t>—</t>
        </is>
      </c>
      <c r="E8" s="2" t="n">
        <v>0.8</v>
      </c>
      <c r="F8" s="2" t="inlineStr">
        <is>
          <t>Non vendu (saisie, police, staff)</t>
        </is>
      </c>
      <c r="G8" s="2" t="n"/>
    </row>
    <row r="9">
      <c r="A9" s="4" t="inlineStr">
        <is>
          <t>Hache de combat</t>
        </is>
      </c>
      <c r="B9" s="4" t="inlineStr">
        <is>
          <t>WEAPON_BATTLEAXE</t>
        </is>
      </c>
      <c r="C9" s="4" t="inlineStr">
        <is>
          <t>Arme blanche</t>
        </is>
      </c>
      <c r="D9" s="4" t="inlineStr">
        <is>
          <t>—</t>
        </is>
      </c>
      <c r="E9" s="4" t="n">
        <v>6.5</v>
      </c>
      <c r="F9" s="4" t="inlineStr">
        <is>
          <t>Non vendu (saisie, police, staff)</t>
        </is>
      </c>
      <c r="G9" s="4" t="n"/>
    </row>
    <row r="10">
      <c r="A10" s="2" t="inlineStr">
        <is>
          <t>Hachette</t>
        </is>
      </c>
      <c r="B10" s="2" t="inlineStr">
        <is>
          <t>WEAPON_HATCHET</t>
        </is>
      </c>
      <c r="C10" s="2" t="inlineStr">
        <is>
          <t>Arme blanche</t>
        </is>
      </c>
      <c r="D10" s="2" t="inlineStr">
        <is>
          <t>—</t>
        </is>
      </c>
      <c r="E10" s="2" t="n">
        <v>1</v>
      </c>
      <c r="F10" s="2" t="inlineStr">
        <is>
          <t>Non vendu (saisie, police, staff)</t>
        </is>
      </c>
      <c r="G10" s="2" t="n"/>
    </row>
    <row r="11">
      <c r="A11" s="4" t="inlineStr">
        <is>
          <t>Hachette en pierre</t>
        </is>
      </c>
      <c r="B11" s="4" t="inlineStr">
        <is>
          <t>WEAPON_STONE_HATCHET</t>
        </is>
      </c>
      <c r="C11" s="4" t="inlineStr">
        <is>
          <t>Arme blanche</t>
        </is>
      </c>
      <c r="D11" s="4" t="inlineStr">
        <is>
          <t>—</t>
        </is>
      </c>
      <c r="E11" s="4" t="n">
        <v>0.8</v>
      </c>
      <c r="F11" s="4" t="inlineStr">
        <is>
          <t>Non vendu (saisie, police, staff)</t>
        </is>
      </c>
      <c r="G11" s="4" t="n"/>
    </row>
    <row r="12">
      <c r="A12" s="2" t="inlineStr">
        <is>
          <t>Lampe torche</t>
        </is>
      </c>
      <c r="B12" s="2" t="inlineStr">
        <is>
          <t>WEAPON_FLASHLIGHT</t>
        </is>
      </c>
      <c r="C12" s="2" t="inlineStr">
        <is>
          <t>Arme blanche</t>
        </is>
      </c>
      <c r="D12" s="2" t="inlineStr">
        <is>
          <t>—</t>
        </is>
      </c>
      <c r="E12" s="2" t="n">
        <v>0.12</v>
      </c>
      <c r="F12" s="2" t="inlineStr">
        <is>
          <t>Ammu-Nation 80 $ (sans permis)</t>
        </is>
      </c>
      <c r="G12" s="3" t="n">
        <v>80</v>
      </c>
    </row>
    <row r="13">
      <c r="A13" s="4" t="inlineStr">
        <is>
          <t>Machette</t>
        </is>
      </c>
      <c r="B13" s="4" t="inlineStr">
        <is>
          <t>WEAPON_MACHETE</t>
        </is>
      </c>
      <c r="C13" s="4" t="inlineStr">
        <is>
          <t>Arme blanche</t>
        </is>
      </c>
      <c r="D13" s="4" t="inlineStr">
        <is>
          <t>—</t>
        </is>
      </c>
      <c r="E13" s="4" t="n">
        <v>1</v>
      </c>
      <c r="F13" s="4" t="inlineStr">
        <is>
          <t>Non vendu (saisie, police, staff)</t>
        </is>
      </c>
      <c r="G13" s="4" t="n"/>
    </row>
    <row r="14">
      <c r="A14" s="2" t="inlineStr">
        <is>
          <t>Marteau</t>
        </is>
      </c>
      <c r="B14" s="2" t="inlineStr">
        <is>
          <t>WEAPON_HAMMER</t>
        </is>
      </c>
      <c r="C14" s="2" t="inlineStr">
        <is>
          <t>Arme blanche</t>
        </is>
      </c>
      <c r="D14" s="2" t="inlineStr">
        <is>
          <t>—</t>
        </is>
      </c>
      <c r="E14" s="2" t="n">
        <v>1.2</v>
      </c>
      <c r="F14" s="2" t="inlineStr">
        <is>
          <t>Non vendu (saisie, police, staff)</t>
        </is>
      </c>
      <c r="G14" s="2" t="n"/>
    </row>
    <row r="15">
      <c r="A15" s="4" t="inlineStr">
        <is>
          <t>Matraque</t>
        </is>
      </c>
      <c r="B15" s="4" t="inlineStr">
        <is>
          <t>WEAPON_NIGHTSTICK</t>
        </is>
      </c>
      <c r="C15" s="4" t="inlineStr">
        <is>
          <t>Arme blanche</t>
        </is>
      </c>
      <c r="D15" s="4" t="inlineStr">
        <is>
          <t>—</t>
        </is>
      </c>
      <c r="E15" s="4" t="n">
        <v>1</v>
      </c>
      <c r="F15" s="4" t="inlineStr">
        <is>
          <t>Non vendu (saisie, police, staff)</t>
        </is>
      </c>
      <c r="G15" s="4" t="n"/>
    </row>
    <row r="16">
      <c r="A16" s="2" t="inlineStr">
        <is>
          <t>Pied-de-biche</t>
        </is>
      </c>
      <c r="B16" s="2" t="inlineStr">
        <is>
          <t>WEAPON_CROWBAR</t>
        </is>
      </c>
      <c r="C16" s="2" t="inlineStr">
        <is>
          <t>Arme blanche</t>
        </is>
      </c>
      <c r="D16" s="2" t="inlineStr">
        <is>
          <t>—</t>
        </is>
      </c>
      <c r="E16" s="2" t="n">
        <v>2.5</v>
      </c>
      <c r="F16" s="2" t="inlineStr">
        <is>
          <t>Non vendu (saisie, police, staff)</t>
        </is>
      </c>
      <c r="G16" s="2" t="n"/>
    </row>
    <row r="17">
      <c r="A17" s="4" t="inlineStr">
        <is>
          <t>Poing américain</t>
        </is>
      </c>
      <c r="B17" s="4" t="inlineStr">
        <is>
          <t>WEAPON_KNUCKLE</t>
        </is>
      </c>
      <c r="C17" s="4" t="inlineStr">
        <is>
          <t>Arme blanche</t>
        </is>
      </c>
      <c r="D17" s="4" t="inlineStr">
        <is>
          <t>—</t>
        </is>
      </c>
      <c r="E17" s="4" t="n">
        <v>0.3</v>
      </c>
      <c r="F17" s="4" t="inlineStr">
        <is>
          <t>Non vendu (saisie, police, staff)</t>
        </is>
      </c>
      <c r="G17" s="4" t="n"/>
    </row>
    <row r="18">
      <c r="A18" s="2" t="inlineStr">
        <is>
          <t>Queue de billard</t>
        </is>
      </c>
      <c r="B18" s="2" t="inlineStr">
        <is>
          <t>WEAPON_POOLCUE</t>
        </is>
      </c>
      <c r="C18" s="2" t="inlineStr">
        <is>
          <t>Arme blanche</t>
        </is>
      </c>
      <c r="D18" s="2" t="inlineStr">
        <is>
          <t>—</t>
        </is>
      </c>
      <c r="E18" s="2" t="n">
        <v>0.15</v>
      </c>
      <c r="F18" s="2" t="inlineStr">
        <is>
          <t>Non vendu (saisie, police, staff)</t>
        </is>
      </c>
      <c r="G18" s="2" t="n"/>
    </row>
    <row r="19">
      <c r="A19" s="4" t="inlineStr">
        <is>
          <t>Sucre d'orge</t>
        </is>
      </c>
      <c r="B19" s="4" t="inlineStr">
        <is>
          <t>WEAPON_CANDYCANE</t>
        </is>
      </c>
      <c r="C19" s="4" t="inlineStr">
        <is>
          <t>Arme blanche</t>
        </is>
      </c>
      <c r="D19" s="4" t="inlineStr">
        <is>
          <t>—</t>
        </is>
      </c>
      <c r="E19" s="4" t="n">
        <v>0.09</v>
      </c>
      <c r="F19" s="4" t="inlineStr">
        <is>
          <t>Non vendu (saisie, police, staff)</t>
        </is>
      </c>
      <c r="G19" s="4" t="n"/>
    </row>
    <row r="20">
      <c r="A20" s="2" t="inlineStr">
        <is>
          <t>Canon électromagnétique</t>
        </is>
      </c>
      <c r="B20" s="2" t="inlineStr">
        <is>
          <t>WEAPON_RAILGUN</t>
        </is>
      </c>
      <c r="C20" s="2" t="inlineStr">
        <is>
          <t>Arme lourde</t>
        </is>
      </c>
      <c r="D20" s="2" t="inlineStr">
        <is>
          <t>Charge électromagnétique</t>
        </is>
      </c>
      <c r="E20" s="2" t="n">
        <v>3.57</v>
      </c>
      <c r="F20" s="2" t="inlineStr">
        <is>
          <t>Non vendu (saisie, police, staff)</t>
        </is>
      </c>
      <c r="G20" s="2" t="n"/>
    </row>
    <row r="21">
      <c r="A21" s="4" t="inlineStr">
        <is>
          <t>Lance-feux d'artifice</t>
        </is>
      </c>
      <c r="B21" s="4" t="inlineStr">
        <is>
          <t>WEAPON_FIREWORK</t>
        </is>
      </c>
      <c r="C21" s="4" t="inlineStr">
        <is>
          <t>Arme lourde</t>
        </is>
      </c>
      <c r="D21" s="4" t="inlineStr">
        <is>
          <t>Fusée de feu d'artifice</t>
        </is>
      </c>
      <c r="E21" s="4" t="n">
        <v>1</v>
      </c>
      <c r="F21" s="4" t="inlineStr">
        <is>
          <t>Non vendu (saisie, police, staff)</t>
        </is>
      </c>
      <c r="G21" s="4" t="n"/>
    </row>
    <row r="22">
      <c r="A22" s="2" t="inlineStr">
        <is>
          <t>Lance-grenades</t>
        </is>
      </c>
      <c r="B22" s="2" t="inlineStr">
        <is>
          <t>WEAPON_GRENADELAUNCHER</t>
        </is>
      </c>
      <c r="C22" s="2" t="inlineStr">
        <is>
          <t>Arme lourde</t>
        </is>
      </c>
      <c r="D22" s="2" t="inlineStr">
        <is>
          <t>Grenade 40 mm</t>
        </is>
      </c>
      <c r="E22" s="2" t="n">
        <v>6.5</v>
      </c>
      <c r="F22" s="2" t="inlineStr">
        <is>
          <t>Non vendu (saisie, police, staff)</t>
        </is>
      </c>
      <c r="G22" s="2" t="n"/>
    </row>
    <row r="23">
      <c r="A23" s="4" t="inlineStr">
        <is>
          <t>Lance-grenades compact</t>
        </is>
      </c>
      <c r="B23" s="4" t="inlineStr">
        <is>
          <t>WEAPON_COMPACTLAUNCHER</t>
        </is>
      </c>
      <c r="C23" s="4" t="inlineStr">
        <is>
          <t>Arme lourde</t>
        </is>
      </c>
      <c r="D23" s="4" t="inlineStr">
        <is>
          <t>Grenade 40 mm</t>
        </is>
      </c>
      <c r="E23" s="4" t="n">
        <v>2.5</v>
      </c>
      <c r="F23" s="4" t="inlineStr">
        <is>
          <t>Non vendu (saisie, police, staff)</t>
        </is>
      </c>
      <c r="G23" s="4" t="n"/>
    </row>
    <row r="24">
      <c r="A24" s="2" t="inlineStr">
        <is>
          <t>Lance-missiles</t>
        </is>
      </c>
      <c r="B24" s="2" t="inlineStr">
        <is>
          <t>WEAPON_HOMINGLAUNCHER</t>
        </is>
      </c>
      <c r="C24" s="2" t="inlineStr">
        <is>
          <t>Arme lourde</t>
        </is>
      </c>
      <c r="D24" s="2" t="inlineStr">
        <is>
          <t>Roquette</t>
        </is>
      </c>
      <c r="E24" s="2" t="n">
        <v>10</v>
      </c>
      <c r="F24" s="2" t="inlineStr">
        <is>
          <t>Non vendu (saisie, police, staff)</t>
        </is>
      </c>
      <c r="G24" s="2" t="n"/>
    </row>
    <row r="25">
      <c r="A25" s="4" t="inlineStr">
        <is>
          <t>Lance-roquettes</t>
        </is>
      </c>
      <c r="B25" s="4" t="inlineStr">
        <is>
          <t>WEAPON_RPG</t>
        </is>
      </c>
      <c r="C25" s="4" t="inlineStr">
        <is>
          <t>Arme lourde</t>
        </is>
      </c>
      <c r="D25" s="4" t="inlineStr">
        <is>
          <t>Roquette</t>
        </is>
      </c>
      <c r="E25" s="4" t="n">
        <v>5</v>
      </c>
      <c r="F25" s="4" t="inlineStr">
        <is>
          <t>Non vendu (saisie, police, staff)</t>
        </is>
      </c>
      <c r="G25" s="4" t="n"/>
    </row>
    <row r="26">
      <c r="A26" s="2" t="inlineStr">
        <is>
          <t>Lanceur IEM compact</t>
        </is>
      </c>
      <c r="B26" s="2" t="inlineStr">
        <is>
          <t>WEAPON_EMPLAUNCHER</t>
        </is>
      </c>
      <c r="C26" s="2" t="inlineStr">
        <is>
          <t>Arme lourde</t>
        </is>
      </c>
      <c r="D26" s="2" t="inlineStr">
        <is>
          <t>Charge IEM</t>
        </is>
      </c>
      <c r="E26" s="2" t="n">
        <v>2.75</v>
      </c>
      <c r="F26" s="2" t="inlineStr">
        <is>
          <t>Non vendu (saisie, police, staff)</t>
        </is>
      </c>
      <c r="G26" s="2" t="n"/>
    </row>
    <row r="27">
      <c r="A27" s="4" t="inlineStr">
        <is>
          <t>Minigun</t>
        </is>
      </c>
      <c r="B27" s="4" t="inlineStr">
        <is>
          <t>WEAPON_MINIGUN</t>
        </is>
      </c>
      <c r="C27" s="4" t="inlineStr">
        <is>
          <t>Arme lourde</t>
        </is>
      </c>
      <c r="D27" s="4" t="inlineStr">
        <is>
          <t>Munitions 7,62</t>
        </is>
      </c>
      <c r="E27" s="4" t="n">
        <v>38.5</v>
      </c>
      <c r="F27" s="4" t="inlineStr">
        <is>
          <t>Non vendu (saisie, police, staff)</t>
        </is>
      </c>
      <c r="G27" s="4" t="n"/>
    </row>
    <row r="28">
      <c r="A28" s="2" t="inlineStr">
        <is>
          <t>Minigun atomiseur</t>
        </is>
      </c>
      <c r="B28" s="2" t="inlineStr">
        <is>
          <t>WEAPON_RAYMINIGUN</t>
        </is>
      </c>
      <c r="C28" s="2" t="inlineStr">
        <is>
          <t>Arme lourde</t>
        </is>
      </c>
      <c r="D28" s="2" t="inlineStr">
        <is>
          <t>Charge laser</t>
        </is>
      </c>
      <c r="E28" s="2" t="n">
        <v>7</v>
      </c>
      <c r="F28" s="2" t="inlineStr">
        <is>
          <t>Non vendu (saisie, police, staff)</t>
        </is>
      </c>
      <c r="G28" s="2" t="n"/>
    </row>
    <row r="29">
      <c r="A29" s="4" t="inlineStr">
        <is>
          <t>Canon électromagnétique XM3</t>
        </is>
      </c>
      <c r="B29" s="4" t="inlineStr">
        <is>
          <t>WEAPON_RAILGUNXM3</t>
        </is>
      </c>
      <c r="C29" s="4" t="inlineStr">
        <is>
          <t>Autre</t>
        </is>
      </c>
      <c r="D29" s="4" t="inlineStr">
        <is>
          <t>Charge électromagnétique</t>
        </is>
      </c>
      <c r="E29" s="4" t="n">
        <v>3.57</v>
      </c>
      <c r="F29" s="4" t="inlineStr">
        <is>
          <t>Non vendu (saisie, police, staff)</t>
        </is>
      </c>
      <c r="G29" s="4" t="n"/>
    </row>
    <row r="30">
      <c r="A30" s="2" t="inlineStr">
        <is>
          <t>Gaz lacrymogène</t>
        </is>
      </c>
      <c r="B30" s="2" t="inlineStr">
        <is>
          <t>WEAPON_TEARGAS</t>
        </is>
      </c>
      <c r="C30" s="2" t="inlineStr">
        <is>
          <t>Autre</t>
        </is>
      </c>
      <c r="D30" s="2" t="inlineStr">
        <is>
          <t>—</t>
        </is>
      </c>
      <c r="E30" s="2" t="n">
        <v>0.6</v>
      </c>
      <c r="F30" s="2" t="inlineStr">
        <is>
          <t>Non vendu (saisie, police, staff)</t>
        </is>
      </c>
      <c r="G30" s="2" t="n"/>
    </row>
    <row r="31">
      <c r="A31" s="4" t="inlineStr">
        <is>
          <t>Lance-boules de neige</t>
        </is>
      </c>
      <c r="B31" s="4" t="inlineStr">
        <is>
          <t>WEAPON_SNOWLAUNCHER</t>
        </is>
      </c>
      <c r="C31" s="4" t="inlineStr">
        <is>
          <t>Autre</t>
        </is>
      </c>
      <c r="D31" s="4" t="inlineStr">
        <is>
          <t>Boule de neige</t>
        </is>
      </c>
      <c r="E31" s="4" t="n">
        <v>1</v>
      </c>
      <c r="F31" s="4" t="inlineStr">
        <is>
          <t>Non vendu (saisie, police, staff)</t>
        </is>
      </c>
      <c r="G31" s="4" t="n"/>
    </row>
    <row r="32">
      <c r="A32" s="2" t="inlineStr">
        <is>
          <t>Carabine</t>
        </is>
      </c>
      <c r="B32" s="2" t="inlineStr">
        <is>
          <t>WEAPON_CARBINERIFLE</t>
        </is>
      </c>
      <c r="C32" s="2" t="inlineStr">
        <is>
          <t>Fusil d'assaut</t>
        </is>
      </c>
      <c r="D32" s="2" t="inlineStr">
        <is>
          <t>Munitions 5,56</t>
        </is>
      </c>
      <c r="E32" s="2" t="n">
        <v>3.1</v>
      </c>
      <c r="F32" s="2" t="inlineStr">
        <is>
          <t>Non vendu (saisie, police, staff)</t>
        </is>
      </c>
      <c r="G32" s="2" t="n"/>
    </row>
    <row r="33">
      <c r="A33" s="4" t="inlineStr">
        <is>
          <t>Carabine spéciale</t>
        </is>
      </c>
      <c r="B33" s="4" t="inlineStr">
        <is>
          <t>WEAPON_SPECIALCARBINE</t>
        </is>
      </c>
      <c r="C33" s="4" t="inlineStr">
        <is>
          <t>Fusil d'assaut</t>
        </is>
      </c>
      <c r="D33" s="4" t="inlineStr">
        <is>
          <t>Munitions 5,56</t>
        </is>
      </c>
      <c r="E33" s="4" t="n">
        <v>3</v>
      </c>
      <c r="F33" s="4" t="inlineStr">
        <is>
          <t>Non vendu (saisie, police, staff)</t>
        </is>
      </c>
      <c r="G33" s="4" t="n"/>
    </row>
    <row r="34">
      <c r="A34" s="2" t="inlineStr">
        <is>
          <t>Fusil avancé</t>
        </is>
      </c>
      <c r="B34" s="2" t="inlineStr">
        <is>
          <t>WEAPON_ADVANCEDRIFLE</t>
        </is>
      </c>
      <c r="C34" s="2" t="inlineStr">
        <is>
          <t>Fusil d'assaut</t>
        </is>
      </c>
      <c r="D34" s="2" t="inlineStr">
        <is>
          <t>Munitions 5,56</t>
        </is>
      </c>
      <c r="E34" s="2" t="n">
        <v>3.1</v>
      </c>
      <c r="F34" s="2" t="inlineStr">
        <is>
          <t>Non vendu (saisie, police, staff)</t>
        </is>
      </c>
      <c r="G34" s="2" t="n"/>
    </row>
    <row r="35">
      <c r="A35" s="4" t="inlineStr">
        <is>
          <t>Fusil bullpup</t>
        </is>
      </c>
      <c r="B35" s="4" t="inlineStr">
        <is>
          <t>WEAPON_BULLPUPRIFLE</t>
        </is>
      </c>
      <c r="C35" s="4" t="inlineStr">
        <is>
          <t>Fusil d'assaut</t>
        </is>
      </c>
      <c r="D35" s="4" t="inlineStr">
        <is>
          <t>Munitions 5,56</t>
        </is>
      </c>
      <c r="E35" s="4" t="n">
        <v>2.9</v>
      </c>
      <c r="F35" s="4" t="inlineStr">
        <is>
          <t>Non vendu (saisie, police, staff)</t>
        </is>
      </c>
      <c r="G35" s="4" t="n"/>
    </row>
    <row r="36">
      <c r="A36" s="2" t="inlineStr">
        <is>
          <t>Fusil compact</t>
        </is>
      </c>
      <c r="B36" s="2" t="inlineStr">
        <is>
          <t>WEAPON_COMPACTRIFLE</t>
        </is>
      </c>
      <c r="C36" s="2" t="inlineStr">
        <is>
          <t>Fusil d'assaut</t>
        </is>
      </c>
      <c r="D36" s="2" t="inlineStr">
        <is>
          <t>Munitions 7,62</t>
        </is>
      </c>
      <c r="E36" s="2" t="n">
        <v>3.6</v>
      </c>
      <c r="F36" s="2" t="inlineStr">
        <is>
          <t>Non vendu (saisie, police, staff)</t>
        </is>
      </c>
      <c r="G36" s="2" t="n"/>
    </row>
    <row r="37">
      <c r="A37" s="4" t="inlineStr">
        <is>
          <t>Fusil d'assaut</t>
        </is>
      </c>
      <c r="B37" s="4" t="inlineStr">
        <is>
          <t>WEAPON_ASSAULTRIFLE</t>
        </is>
      </c>
      <c r="C37" s="4" t="inlineStr">
        <is>
          <t>Fusil d'assaut</t>
        </is>
      </c>
      <c r="D37" s="4" t="inlineStr">
        <is>
          <t>Munitions 7,62</t>
        </is>
      </c>
      <c r="E37" s="4" t="n">
        <v>4.5</v>
      </c>
      <c r="F37" s="4" t="inlineStr">
        <is>
          <t>Non vendu (saisie, police, staff)</t>
        </is>
      </c>
      <c r="G37" s="4" t="n"/>
    </row>
    <row r="38">
      <c r="A38" s="2" t="inlineStr">
        <is>
          <t>Fusil de combat</t>
        </is>
      </c>
      <c r="B38" s="2" t="inlineStr">
        <is>
          <t>WEAPON_BATTLERIFLE</t>
        </is>
      </c>
      <c r="C38" s="2" t="inlineStr">
        <is>
          <t>Fusil d'assaut</t>
        </is>
      </c>
      <c r="D38" s="2" t="inlineStr">
        <is>
          <t>Munitions 7,62</t>
        </is>
      </c>
      <c r="E38" s="2" t="n">
        <v>3.3</v>
      </c>
      <c r="F38" s="2" t="inlineStr">
        <is>
          <t>Non vendu (saisie, police, staff)</t>
        </is>
      </c>
      <c r="G38" s="2" t="n"/>
    </row>
    <row r="39">
      <c r="A39" s="4" t="inlineStr">
        <is>
          <t>Fusil lourd</t>
        </is>
      </c>
      <c r="B39" s="4" t="inlineStr">
        <is>
          <t>WEAPON_HEAVYRIFLE</t>
        </is>
      </c>
      <c r="C39" s="4" t="inlineStr">
        <is>
          <t>Fusil d'assaut</t>
        </is>
      </c>
      <c r="D39" s="4" t="inlineStr">
        <is>
          <t>Munitions 5,56</t>
        </is>
      </c>
      <c r="E39" s="4" t="n">
        <v>3.3</v>
      </c>
      <c r="F39" s="4" t="inlineStr">
        <is>
          <t>Non vendu (saisie, police, staff)</t>
        </is>
      </c>
      <c r="G39" s="4" t="n"/>
    </row>
    <row r="40">
      <c r="A40" s="2" t="inlineStr">
        <is>
          <t>Fusil militaire</t>
        </is>
      </c>
      <c r="B40" s="2" t="inlineStr">
        <is>
          <t>WEAPON_MILITARYRIFLE</t>
        </is>
      </c>
      <c r="C40" s="2" t="inlineStr">
        <is>
          <t>Fusil d'assaut</t>
        </is>
      </c>
      <c r="D40" s="2" t="inlineStr">
        <is>
          <t>Munitions 5,56</t>
        </is>
      </c>
      <c r="E40" s="2" t="n">
        <v>3.6</v>
      </c>
      <c r="F40" s="2" t="inlineStr">
        <is>
          <t>Non vendu (saisie, police, staff)</t>
        </is>
      </c>
      <c r="G40" s="2" t="n"/>
    </row>
    <row r="41">
      <c r="A41" s="4" t="inlineStr">
        <is>
          <t>Fusil tactique</t>
        </is>
      </c>
      <c r="B41" s="4" t="inlineStr">
        <is>
          <t>WEAPON_TACTICALRIFLE</t>
        </is>
      </c>
      <c r="C41" s="4" t="inlineStr">
        <is>
          <t>Fusil d'assaut</t>
        </is>
      </c>
      <c r="D41" s="4" t="inlineStr">
        <is>
          <t>Munitions 5,56</t>
        </is>
      </c>
      <c r="E41" s="4" t="n">
        <v>3.4</v>
      </c>
      <c r="F41" s="4" t="inlineStr">
        <is>
          <t>Non vendu (saisie, police, staff)</t>
        </is>
      </c>
      <c r="G41" s="4" t="n"/>
    </row>
    <row r="42">
      <c r="A42" s="2" t="inlineStr">
        <is>
          <t>Carabine Mk II</t>
        </is>
      </c>
      <c r="B42" s="2" t="inlineStr">
        <is>
          <t>WEAPON_CARBINERIFLE_MK2</t>
        </is>
      </c>
      <c r="C42" s="2" t="inlineStr">
        <is>
          <t>Fusil d'assaut (Mk II)</t>
        </is>
      </c>
      <c r="D42" s="2" t="inlineStr">
        <is>
          <t>Munitions 5,56</t>
        </is>
      </c>
      <c r="E42" s="2" t="n">
        <v>3</v>
      </c>
      <c r="F42" s="2" t="inlineStr">
        <is>
          <t>Non vendu (saisie, police, staff)</t>
        </is>
      </c>
      <c r="G42" s="2" t="n"/>
    </row>
    <row r="43">
      <c r="A43" s="4" t="inlineStr">
        <is>
          <t>Carabine spéciale Mk II</t>
        </is>
      </c>
      <c r="B43" s="4" t="inlineStr">
        <is>
          <t>WEAPON_SPECIALCARBINE_MK2</t>
        </is>
      </c>
      <c r="C43" s="4" t="inlineStr">
        <is>
          <t>Fusil d'assaut (Mk II)</t>
        </is>
      </c>
      <c r="D43" s="4" t="inlineStr">
        <is>
          <t>Munitions 5,56</t>
        </is>
      </c>
      <c r="E43" s="4" t="n">
        <v>3.37</v>
      </c>
      <c r="F43" s="4" t="inlineStr">
        <is>
          <t>Non vendu (saisie, police, staff)</t>
        </is>
      </c>
      <c r="G43" s="4" t="n"/>
    </row>
    <row r="44">
      <c r="A44" s="2" t="inlineStr">
        <is>
          <t>Fusil bullpup Mk II</t>
        </is>
      </c>
      <c r="B44" s="2" t="inlineStr">
        <is>
          <t>WEAPON_BULLPUPRIFLE_MK2</t>
        </is>
      </c>
      <c r="C44" s="2" t="inlineStr">
        <is>
          <t>Fusil d'assaut (Mk II)</t>
        </is>
      </c>
      <c r="D44" s="2" t="inlineStr">
        <is>
          <t>Munitions 5,56</t>
        </is>
      </c>
      <c r="E44" s="2" t="n">
        <v>2.9</v>
      </c>
      <c r="F44" s="2" t="inlineStr">
        <is>
          <t>Non vendu (saisie, police, staff)</t>
        </is>
      </c>
      <c r="G44" s="2" t="n"/>
    </row>
    <row r="45">
      <c r="A45" s="4" t="inlineStr">
        <is>
          <t>Fusil d'assaut Mk II</t>
        </is>
      </c>
      <c r="B45" s="4" t="inlineStr">
        <is>
          <t>WEAPON_ASSAULTRIFLE_MK2</t>
        </is>
      </c>
      <c r="C45" s="4" t="inlineStr">
        <is>
          <t>Fusil d'assaut (Mk II)</t>
        </is>
      </c>
      <c r="D45" s="4" t="inlineStr">
        <is>
          <t>Munitions 7,62</t>
        </is>
      </c>
      <c r="E45" s="4" t="n">
        <v>2.95</v>
      </c>
      <c r="F45" s="4" t="inlineStr">
        <is>
          <t>Non vendu (saisie, police, staff)</t>
        </is>
      </c>
      <c r="G45" s="4" t="n"/>
    </row>
    <row r="46">
      <c r="A46" s="2" t="inlineStr">
        <is>
          <t>Fusil de précision</t>
        </is>
      </c>
      <c r="B46" s="2" t="inlineStr">
        <is>
          <t>WEAPON_SNIPERRIFLE</t>
        </is>
      </c>
      <c r="C46" s="2" t="inlineStr">
        <is>
          <t>Fusil de précision</t>
        </is>
      </c>
      <c r="D46" s="2" t="inlineStr">
        <is>
          <t>Munitions 7,62 (précision)</t>
        </is>
      </c>
      <c r="E46" s="2" t="n">
        <v>5</v>
      </c>
      <c r="F46" s="2" t="inlineStr">
        <is>
          <t>Non vendu (saisie, police, staff)</t>
        </is>
      </c>
      <c r="G46" s="2" t="n"/>
    </row>
    <row r="47">
      <c r="A47" s="4" t="inlineStr">
        <is>
          <t>Fusil de précision (chasse)</t>
        </is>
      </c>
      <c r="B47" s="4" t="inlineStr">
        <is>
          <t>WEAPON_PRECISIONRIFLE</t>
        </is>
      </c>
      <c r="C47" s="4" t="inlineStr">
        <is>
          <t>Fusil de précision</t>
        </is>
      </c>
      <c r="D47" s="4" t="inlineStr">
        <is>
          <t>Munitions 7,62 (précision)</t>
        </is>
      </c>
      <c r="E47" s="4" t="n">
        <v>4.8</v>
      </c>
      <c r="F47" s="4" t="inlineStr">
        <is>
          <t>Non vendu (saisie, police, staff)</t>
        </is>
      </c>
      <c r="G47" s="4" t="n"/>
    </row>
    <row r="48">
      <c r="A48" s="2" t="inlineStr">
        <is>
          <t>Fusil de précision lourd</t>
        </is>
      </c>
      <c r="B48" s="2" t="inlineStr">
        <is>
          <t>WEAPON_HEAVYSNIPER</t>
        </is>
      </c>
      <c r="C48" s="2" t="inlineStr">
        <is>
          <t>Fusil de précision</t>
        </is>
      </c>
      <c r="D48" s="2" t="inlineStr">
        <is>
          <t>Munitions .50 BMG</t>
        </is>
      </c>
      <c r="E48" s="2" t="n">
        <v>12.7</v>
      </c>
      <c r="F48" s="2" t="inlineStr">
        <is>
          <t>Non vendu (saisie, police, staff)</t>
        </is>
      </c>
      <c r="G48" s="2" t="n"/>
    </row>
    <row r="49">
      <c r="A49" s="4" t="inlineStr">
        <is>
          <t>Fusil de tireur d'élite</t>
        </is>
      </c>
      <c r="B49" s="4" t="inlineStr">
        <is>
          <t>WEAPON_MARKSMANRIFLE</t>
        </is>
      </c>
      <c r="C49" s="4" t="inlineStr">
        <is>
          <t>Fusil de précision</t>
        </is>
      </c>
      <c r="D49" s="4" t="inlineStr">
        <is>
          <t>Munitions 7,62 (précision)</t>
        </is>
      </c>
      <c r="E49" s="4" t="n">
        <v>7.5</v>
      </c>
      <c r="F49" s="4" t="inlineStr">
        <is>
          <t>Non vendu (saisie, police, staff)</t>
        </is>
      </c>
      <c r="G49" s="4" t="n"/>
    </row>
    <row r="50">
      <c r="A50" s="2" t="inlineStr">
        <is>
          <t>Fusil de précision lourd Mk II</t>
        </is>
      </c>
      <c r="B50" s="2" t="inlineStr">
        <is>
          <t>WEAPON_HEAVYSNIPER_MK2</t>
        </is>
      </c>
      <c r="C50" s="2" t="inlineStr">
        <is>
          <t>Fusil de précision (Mk II)</t>
        </is>
      </c>
      <c r="D50" s="2" t="inlineStr">
        <is>
          <t>Munitions .50 BMG</t>
        </is>
      </c>
      <c r="E50" s="2" t="n">
        <v>14</v>
      </c>
      <c r="F50" s="2" t="inlineStr">
        <is>
          <t>Non vendu (saisie, police, staff)</t>
        </is>
      </c>
      <c r="G50" s="2" t="n"/>
    </row>
    <row r="51">
      <c r="A51" s="4" t="inlineStr">
        <is>
          <t>Fusil de tireur d'élite Mk II</t>
        </is>
      </c>
      <c r="B51" s="4" t="inlineStr">
        <is>
          <t>WEAPON_MARKSMANRIFLE_MK2</t>
        </is>
      </c>
      <c r="C51" s="4" t="inlineStr">
        <is>
          <t>Fusil de précision (Mk II)</t>
        </is>
      </c>
      <c r="D51" s="4" t="inlineStr">
        <is>
          <t>Munitions 7,62 (précision)</t>
        </is>
      </c>
      <c r="E51" s="4" t="n">
        <v>4</v>
      </c>
      <c r="F51" s="4" t="inlineStr">
        <is>
          <t>Non vendu (saisie, police, staff)</t>
        </is>
      </c>
      <c r="G51" s="4" t="n"/>
    </row>
    <row r="52">
      <c r="A52" s="2" t="inlineStr">
        <is>
          <t>Fusil de combat</t>
        </is>
      </c>
      <c r="B52" s="2" t="inlineStr">
        <is>
          <t>WEAPON_COMBATSHOTGUN</t>
        </is>
      </c>
      <c r="C52" s="2" t="inlineStr">
        <is>
          <t>Fusil à pompe</t>
        </is>
      </c>
      <c r="D52" s="2" t="inlineStr">
        <is>
          <t>Cartouches calibre 12</t>
        </is>
      </c>
      <c r="E52" s="2" t="n">
        <v>4.4</v>
      </c>
      <c r="F52" s="2" t="inlineStr">
        <is>
          <t>Non vendu (saisie, police, staff)</t>
        </is>
      </c>
      <c r="G52" s="2" t="n"/>
    </row>
    <row r="53">
      <c r="A53" s="4" t="inlineStr">
        <is>
          <t>Fusil à canon scié</t>
        </is>
      </c>
      <c r="B53" s="4" t="inlineStr">
        <is>
          <t>WEAPON_SAWNOFFSHOTGUN</t>
        </is>
      </c>
      <c r="C53" s="4" t="inlineStr">
        <is>
          <t>Fusil à pompe</t>
        </is>
      </c>
      <c r="D53" s="4" t="inlineStr">
        <is>
          <t>Cartouches calibre 12</t>
        </is>
      </c>
      <c r="E53" s="4" t="n">
        <v>2.38</v>
      </c>
      <c r="F53" s="4" t="inlineStr">
        <is>
          <t>Marché noir 14 000 $ sale, stock 3/jour · gang seulement</t>
        </is>
      </c>
      <c r="G53" s="5" t="n">
        <v>14000</v>
      </c>
    </row>
    <row r="54">
      <c r="A54" s="2" t="inlineStr">
        <is>
          <t>Fusil à double canon</t>
        </is>
      </c>
      <c r="B54" s="2" t="inlineStr">
        <is>
          <t>WEAPON_DBSHOTGUN</t>
        </is>
      </c>
      <c r="C54" s="2" t="inlineStr">
        <is>
          <t>Fusil à pompe</t>
        </is>
      </c>
      <c r="D54" s="2" t="inlineStr">
        <is>
          <t>Cartouches calibre 12</t>
        </is>
      </c>
      <c r="E54" s="2" t="n">
        <v>3.17</v>
      </c>
      <c r="F54" s="2" t="inlineStr">
        <is>
          <t>Non vendu (saisie, police, staff)</t>
        </is>
      </c>
      <c r="G54" s="2" t="n"/>
    </row>
    <row r="55">
      <c r="A55" s="4" t="inlineStr">
        <is>
          <t>Fusil à pompe</t>
        </is>
      </c>
      <c r="B55" s="4" t="inlineStr">
        <is>
          <t>WEAPON_PUMPSHOTGUN</t>
        </is>
      </c>
      <c r="C55" s="4" t="inlineStr">
        <is>
          <t>Fusil à pompe</t>
        </is>
      </c>
      <c r="D55" s="4" t="inlineStr">
        <is>
          <t>Cartouches calibre 12</t>
        </is>
      </c>
      <c r="E55" s="4" t="n">
        <v>3.4</v>
      </c>
      <c r="F55" s="4" t="inlineStr">
        <is>
          <t>Ammu-Nation 5 500 $ (sans permis)</t>
        </is>
      </c>
      <c r="G55" s="5" t="n">
        <v>5500</v>
      </c>
    </row>
    <row r="56">
      <c r="A56" s="2" t="inlineStr">
        <is>
          <t>Fusil à pompe automatique</t>
        </is>
      </c>
      <c r="B56" s="2" t="inlineStr">
        <is>
          <t>WEAPON_AUTOSHOTGUN</t>
        </is>
      </c>
      <c r="C56" s="2" t="inlineStr">
        <is>
          <t>Fusil à pompe</t>
        </is>
      </c>
      <c r="D56" s="2" t="inlineStr">
        <is>
          <t>Cartouches calibre 12</t>
        </is>
      </c>
      <c r="E56" s="2" t="n">
        <v>4.4</v>
      </c>
      <c r="F56" s="2" t="inlineStr">
        <is>
          <t>Non vendu (saisie, police, staff)</t>
        </is>
      </c>
      <c r="G56" s="2" t="n"/>
    </row>
    <row r="57">
      <c r="A57" s="4" t="inlineStr">
        <is>
          <t>Fusil à pompe bullpup</t>
        </is>
      </c>
      <c r="B57" s="4" t="inlineStr">
        <is>
          <t>WEAPON_BULLPUPSHOTGUN</t>
        </is>
      </c>
      <c r="C57" s="4" t="inlineStr">
        <is>
          <t>Fusil à pompe</t>
        </is>
      </c>
      <c r="D57" s="4" t="inlineStr">
        <is>
          <t>Cartouches calibre 12</t>
        </is>
      </c>
      <c r="E57" s="4" t="n">
        <v>3.1</v>
      </c>
      <c r="F57" s="4" t="inlineStr">
        <is>
          <t>Non vendu (saisie, police, staff)</t>
        </is>
      </c>
      <c r="G57" s="4" t="n"/>
    </row>
    <row r="58">
      <c r="A58" s="2" t="inlineStr">
        <is>
          <t>Fusil à pompe d'assaut</t>
        </is>
      </c>
      <c r="B58" s="2" t="inlineStr">
        <is>
          <t>WEAPON_ASSAULTSHOTGUN</t>
        </is>
      </c>
      <c r="C58" s="2" t="inlineStr">
        <is>
          <t>Fusil à pompe</t>
        </is>
      </c>
      <c r="D58" s="2" t="inlineStr">
        <is>
          <t>Cartouches calibre 12</t>
        </is>
      </c>
      <c r="E58" s="2" t="n">
        <v>5.2</v>
      </c>
      <c r="F58" s="2" t="inlineStr">
        <is>
          <t>Non vendu (saisie, police, staff)</t>
        </is>
      </c>
      <c r="G58" s="2" t="n"/>
    </row>
    <row r="59">
      <c r="A59" s="4" t="inlineStr">
        <is>
          <t>Fusil à pompe lourd</t>
        </is>
      </c>
      <c r="B59" s="4" t="inlineStr">
        <is>
          <t>WEAPON_HEAVYSHOTGUN</t>
        </is>
      </c>
      <c r="C59" s="4" t="inlineStr">
        <is>
          <t>Fusil à pompe</t>
        </is>
      </c>
      <c r="D59" s="4" t="inlineStr">
        <is>
          <t>Cartouches calibre 12</t>
        </is>
      </c>
      <c r="E59" s="4" t="n">
        <v>3.6</v>
      </c>
      <c r="F59" s="4" t="inlineStr">
        <is>
          <t>Non vendu (saisie, police, staff)</t>
        </is>
      </c>
      <c r="G59" s="4" t="n"/>
    </row>
    <row r="60">
      <c r="A60" s="2" t="inlineStr">
        <is>
          <t>Mousquet</t>
        </is>
      </c>
      <c r="B60" s="2" t="inlineStr">
        <is>
          <t>WEAPON_MUSKET</t>
        </is>
      </c>
      <c r="C60" s="2" t="inlineStr">
        <is>
          <t>Fusil à pompe</t>
        </is>
      </c>
      <c r="D60" s="2" t="inlineStr">
        <is>
          <t>Balle de mousquet</t>
        </is>
      </c>
      <c r="E60" s="2" t="n">
        <v>4.5</v>
      </c>
      <c r="F60" s="2" t="inlineStr">
        <is>
          <t>Ammu-Nation 1 500 $ (sans permis)</t>
        </is>
      </c>
      <c r="G60" s="3" t="n">
        <v>1500</v>
      </c>
    </row>
    <row r="61">
      <c r="A61" s="4" t="inlineStr">
        <is>
          <t>Fusil à pompe Mk II</t>
        </is>
      </c>
      <c r="B61" s="4" t="inlineStr">
        <is>
          <t>WEAPON_PUMPSHOTGUN_MK2</t>
        </is>
      </c>
      <c r="C61" s="4" t="inlineStr">
        <is>
          <t>Fusil à pompe (Mk II)</t>
        </is>
      </c>
      <c r="D61" s="4" t="inlineStr">
        <is>
          <t>Cartouches calibre 12</t>
        </is>
      </c>
      <c r="E61" s="4" t="n">
        <v>3.2</v>
      </c>
      <c r="F61" s="4" t="inlineStr">
        <is>
          <t>Non vendu (saisie, police, staff)</t>
        </is>
      </c>
      <c r="G61" s="4" t="n"/>
    </row>
    <row r="62">
      <c r="A62" s="2" t="inlineStr">
        <is>
          <t>Mitraillette Gusenberg</t>
        </is>
      </c>
      <c r="B62" s="2" t="inlineStr">
        <is>
          <t>WEAPON_GUSENBERG</t>
        </is>
      </c>
      <c r="C62" s="2" t="inlineStr">
        <is>
          <t>Mitrailleuse</t>
        </is>
      </c>
      <c r="D62" s="2" t="inlineStr">
        <is>
          <t>Munitions .45</t>
        </is>
      </c>
      <c r="E62" s="2" t="n">
        <v>4.9</v>
      </c>
      <c r="F62" s="2" t="inlineStr">
        <is>
          <t>Non vendu (saisie, police, staff)</t>
        </is>
      </c>
      <c r="G62" s="2" t="n"/>
    </row>
    <row r="63">
      <c r="A63" s="4" t="inlineStr">
        <is>
          <t>Mitrailleuse</t>
        </is>
      </c>
      <c r="B63" s="4" t="inlineStr">
        <is>
          <t>WEAPON_MG</t>
        </is>
      </c>
      <c r="C63" s="4" t="inlineStr">
        <is>
          <t>Mitrailleuse</t>
        </is>
      </c>
      <c r="D63" s="4" t="inlineStr">
        <is>
          <t>Munitions 7,62</t>
        </is>
      </c>
      <c r="E63" s="4" t="n">
        <v>9</v>
      </c>
      <c r="F63" s="4" t="inlineStr">
        <is>
          <t>Non vendu (saisie, police, staff)</t>
        </is>
      </c>
      <c r="G63" s="4" t="n"/>
    </row>
    <row r="64">
      <c r="A64" s="2" t="inlineStr">
        <is>
          <t>Mitrailleuse de combat</t>
        </is>
      </c>
      <c r="B64" s="2" t="inlineStr">
        <is>
          <t>WEAPON_COMBATMG</t>
        </is>
      </c>
      <c r="C64" s="2" t="inlineStr">
        <is>
          <t>Mitrailleuse</t>
        </is>
      </c>
      <c r="D64" s="2" t="inlineStr">
        <is>
          <t>Munitions 5,56</t>
        </is>
      </c>
      <c r="E64" s="2" t="n">
        <v>7.5</v>
      </c>
      <c r="F64" s="2" t="inlineStr">
        <is>
          <t>Non vendu (saisie, police, staff)</t>
        </is>
      </c>
      <c r="G64" s="2" t="n"/>
    </row>
    <row r="65">
      <c r="A65" s="4" t="inlineStr">
        <is>
          <t>Mitrailleuse de combat Mk II</t>
        </is>
      </c>
      <c r="B65" s="4" t="inlineStr">
        <is>
          <t>WEAPON_COMBATMG_MK2</t>
        </is>
      </c>
      <c r="C65" s="4" t="inlineStr">
        <is>
          <t>Mitrailleuse (Mk II)</t>
        </is>
      </c>
      <c r="D65" s="4" t="inlineStr">
        <is>
          <t>Munitions 7,62</t>
        </is>
      </c>
      <c r="E65" s="4" t="n">
        <v>8</v>
      </c>
      <c r="F65" s="4" t="inlineStr">
        <is>
          <t>Non vendu (saisie, police, staff)</t>
        </is>
      </c>
      <c r="G65" s="4" t="n"/>
    </row>
    <row r="66">
      <c r="A66" s="2" t="inlineStr">
        <is>
          <t>Bidon d'engrais</t>
        </is>
      </c>
      <c r="B66" s="2" t="inlineStr">
        <is>
          <t>WEAPON_FERTILIZERCAN</t>
        </is>
      </c>
      <c r="C66" s="2" t="inlineStr">
        <is>
          <t>Outil</t>
        </is>
      </c>
      <c r="D66" s="2" t="inlineStr">
        <is>
          <t>—</t>
        </is>
      </c>
      <c r="E66" s="2" t="n">
        <v>12</v>
      </c>
      <c r="F66" s="2" t="inlineStr">
        <is>
          <t>Non vendu (saisie, police, staff)</t>
        </is>
      </c>
      <c r="G66" s="2" t="n"/>
    </row>
    <row r="67">
      <c r="A67" s="4" t="inlineStr">
        <is>
          <t>Bidon de produit dangereux</t>
        </is>
      </c>
      <c r="B67" s="4" t="inlineStr">
        <is>
          <t>WEAPON_HAZARDCAN</t>
        </is>
      </c>
      <c r="C67" s="4" t="inlineStr">
        <is>
          <t>Outil</t>
        </is>
      </c>
      <c r="D67" s="4" t="inlineStr">
        <is>
          <t>—</t>
        </is>
      </c>
      <c r="E67" s="4" t="n">
        <v>12</v>
      </c>
      <c r="F67" s="4" t="inlineStr">
        <is>
          <t>Non vendu (saisie, police, staff)</t>
        </is>
      </c>
      <c r="G67" s="4" t="n"/>
    </row>
    <row r="68">
      <c r="A68" s="2" t="inlineStr">
        <is>
          <t>Détecteur de métaux</t>
        </is>
      </c>
      <c r="B68" s="2" t="inlineStr">
        <is>
          <t>WEAPON_METALDETECTOR</t>
        </is>
      </c>
      <c r="C68" s="2" t="inlineStr">
        <is>
          <t>Outil</t>
        </is>
      </c>
      <c r="D68" s="2" t="inlineStr">
        <is>
          <t>—</t>
        </is>
      </c>
      <c r="E68" s="2" t="n">
        <v>1.2</v>
      </c>
      <c r="F68" s="2" t="inlineStr">
        <is>
          <t>Non vendu (saisie, police, staff)</t>
        </is>
      </c>
      <c r="G68" s="2" t="n"/>
    </row>
    <row r="69">
      <c r="A69" s="4" t="inlineStr">
        <is>
          <t>Extincteur</t>
        </is>
      </c>
      <c r="B69" s="4" t="inlineStr">
        <is>
          <t>WEAPON_FIREEXTINGUISHER</t>
        </is>
      </c>
      <c r="C69" s="4" t="inlineStr">
        <is>
          <t>Outil</t>
        </is>
      </c>
      <c r="D69" s="4" t="inlineStr">
        <is>
          <t>—</t>
        </is>
      </c>
      <c r="E69" s="4" t="n">
        <v>8.619999999999999</v>
      </c>
      <c r="F69" s="4" t="inlineStr">
        <is>
          <t>Non vendu (saisie, police, staff)</t>
        </is>
      </c>
      <c r="G69" s="4" t="n"/>
    </row>
    <row r="70">
      <c r="A70" s="2" t="inlineStr">
        <is>
          <t>Jerrican d'essence</t>
        </is>
      </c>
      <c r="B70" s="2" t="inlineStr">
        <is>
          <t>WEAPON_PETROLCAN</t>
        </is>
      </c>
      <c r="C70" s="2" t="inlineStr">
        <is>
          <t>Outil</t>
        </is>
      </c>
      <c r="D70" s="2" t="inlineStr">
        <is>
          <t>—</t>
        </is>
      </c>
      <c r="E70" s="2" t="n">
        <v>4</v>
      </c>
      <c r="F70" s="2" t="inlineStr">
        <is>
          <t>Non vendu (saisie, police, staff)</t>
        </is>
      </c>
      <c r="G70" s="2" t="n"/>
    </row>
    <row r="71">
      <c r="A71" s="4" t="inlineStr">
        <is>
          <t>Pistolet</t>
        </is>
      </c>
      <c r="B71" s="4" t="inlineStr">
        <is>
          <t>WEAPON_PISTOL</t>
        </is>
      </c>
      <c r="C71" s="4" t="inlineStr">
        <is>
          <t>Pistolet</t>
        </is>
      </c>
      <c r="D71" s="4" t="inlineStr">
        <is>
          <t>Munitions 9 mm</t>
        </is>
      </c>
      <c r="E71" s="4" t="n">
        <v>1.13</v>
      </c>
      <c r="F71" s="4" t="inlineStr">
        <is>
          <t>Ammu-Nation 2 500 $ (sans permis) · Marché noir 6 000 $ sale, stock 6/jour</t>
        </is>
      </c>
      <c r="G71" s="5" t="n">
        <v>2500</v>
      </c>
    </row>
    <row r="72">
      <c r="A72" s="2" t="inlineStr">
        <is>
          <t>Pistolet .50</t>
        </is>
      </c>
      <c r="B72" s="2" t="inlineStr">
        <is>
          <t>WEAPON_PISTOL50</t>
        </is>
      </c>
      <c r="C72" s="2" t="inlineStr">
        <is>
          <t>Pistolet</t>
        </is>
      </c>
      <c r="D72" s="2" t="inlineStr">
        <is>
          <t>Munitions .50</t>
        </is>
      </c>
      <c r="E72" s="2" t="n">
        <v>2</v>
      </c>
      <c r="F72" s="2" t="inlineStr">
        <is>
          <t>Non vendu (saisie, police, staff)</t>
        </is>
      </c>
      <c r="G72" s="2" t="n"/>
    </row>
    <row r="73">
      <c r="A73" s="4" t="inlineStr">
        <is>
          <t>Pistolet Perico</t>
        </is>
      </c>
      <c r="B73" s="4" t="inlineStr">
        <is>
          <t>WEAPON_GADGETPISTOL</t>
        </is>
      </c>
      <c r="C73" s="4" t="inlineStr">
        <is>
          <t>Pistolet</t>
        </is>
      </c>
      <c r="D73" s="4" t="inlineStr">
        <is>
          <t>Munitions 9 mm</t>
        </is>
      </c>
      <c r="E73" s="4" t="n">
        <v>1.75</v>
      </c>
      <c r="F73" s="4" t="inlineStr">
        <is>
          <t>Non vendu (saisie, police, staff)</t>
        </is>
      </c>
      <c r="G73" s="4" t="n"/>
    </row>
    <row r="74">
      <c r="A74" s="2" t="inlineStr">
        <is>
          <t>Pistolet WM 29</t>
        </is>
      </c>
      <c r="B74" s="2" t="inlineStr">
        <is>
          <t>WEAPON_PISTOLXM3</t>
        </is>
      </c>
      <c r="C74" s="2" t="inlineStr">
        <is>
          <t>Pistolet</t>
        </is>
      </c>
      <c r="D74" s="2" t="inlineStr">
        <is>
          <t>Munitions 9 mm</t>
        </is>
      </c>
      <c r="E74" s="2" t="n">
        <v>0.97</v>
      </c>
      <c r="F74" s="2" t="inlineStr">
        <is>
          <t>Non vendu (saisie, police, staff)</t>
        </is>
      </c>
      <c r="G74" s="2" t="n"/>
    </row>
    <row r="75">
      <c r="A75" s="4" t="inlineStr">
        <is>
          <t>Pistolet atomiseur</t>
        </is>
      </c>
      <c r="B75" s="4" t="inlineStr">
        <is>
          <t>WEAPON_RAYPISTOL</t>
        </is>
      </c>
      <c r="C75" s="4" t="inlineStr">
        <is>
          <t>Pistolet</t>
        </is>
      </c>
      <c r="D75" s="4" t="inlineStr">
        <is>
          <t>—</t>
        </is>
      </c>
      <c r="E75" s="4" t="n">
        <v>1.54</v>
      </c>
      <c r="F75" s="4" t="inlineStr">
        <is>
          <t>Non vendu (saisie, police, staff)</t>
        </is>
      </c>
      <c r="G75" s="4" t="n"/>
    </row>
    <row r="76">
      <c r="A76" s="2" t="inlineStr">
        <is>
          <t>Pistolet automatique</t>
        </is>
      </c>
      <c r="B76" s="2" t="inlineStr">
        <is>
          <t>WEAPON_APPISTOL</t>
        </is>
      </c>
      <c r="C76" s="2" t="inlineStr">
        <is>
          <t>Pistolet</t>
        </is>
      </c>
      <c r="D76" s="2" t="inlineStr">
        <is>
          <t>Munitions 9 mm</t>
        </is>
      </c>
      <c r="E76" s="2" t="n">
        <v>1.4</v>
      </c>
      <c r="F76" s="2" t="inlineStr">
        <is>
          <t>Non vendu (saisie, police, staff)</t>
        </is>
      </c>
      <c r="G76" s="2" t="n"/>
    </row>
    <row r="77">
      <c r="A77" s="4" t="inlineStr">
        <is>
          <t>Pistolet de combat</t>
        </is>
      </c>
      <c r="B77" s="4" t="inlineStr">
        <is>
          <t>WEAPON_COMBATPISTOL</t>
        </is>
      </c>
      <c r="C77" s="4" t="inlineStr">
        <is>
          <t>Pistolet</t>
        </is>
      </c>
      <c r="D77" s="4" t="inlineStr">
        <is>
          <t>Munitions 9 mm</t>
        </is>
      </c>
      <c r="E77" s="4" t="n">
        <v>0.79</v>
      </c>
      <c r="F77" s="4" t="inlineStr">
        <is>
          <t>Non vendu (saisie, police, staff)</t>
        </is>
      </c>
      <c r="G77" s="4" t="n"/>
    </row>
    <row r="78">
      <c r="A78" s="2" t="inlineStr">
        <is>
          <t>Pistolet de détresse</t>
        </is>
      </c>
      <c r="B78" s="2" t="inlineStr">
        <is>
          <t>WEAPON_FLAREGUN</t>
        </is>
      </c>
      <c r="C78" s="2" t="inlineStr">
        <is>
          <t>Pistolet</t>
        </is>
      </c>
      <c r="D78" s="2" t="inlineStr">
        <is>
          <t>Cartouche de détresse</t>
        </is>
      </c>
      <c r="E78" s="2" t="n">
        <v>1</v>
      </c>
      <c r="F78" s="2" t="inlineStr">
        <is>
          <t>Non vendu (saisie, police, staff)</t>
        </is>
      </c>
      <c r="G78" s="2" t="n"/>
    </row>
    <row r="79">
      <c r="A79" s="4" t="inlineStr">
        <is>
          <t>Pistolet de poche</t>
        </is>
      </c>
      <c r="B79" s="4" t="inlineStr">
        <is>
          <t>WEAPON_SNSPISTOL</t>
        </is>
      </c>
      <c r="C79" s="4" t="inlineStr">
        <is>
          <t>Pistolet</t>
        </is>
      </c>
      <c r="D79" s="4" t="inlineStr">
        <is>
          <t>Munitions .45</t>
        </is>
      </c>
      <c r="E79" s="4" t="n">
        <v>0.47</v>
      </c>
      <c r="F79" s="4" t="inlineStr">
        <is>
          <t>Ammu-Nation 1 800 $ (sans permis) · Marché noir 4 500 $ sale, stock 6/jour</t>
        </is>
      </c>
      <c r="G79" s="5" t="n">
        <v>1800</v>
      </c>
    </row>
    <row r="80">
      <c r="A80" s="2" t="inlineStr">
        <is>
          <t>Pistolet de précision</t>
        </is>
      </c>
      <c r="B80" s="2" t="inlineStr">
        <is>
          <t>WEAPON_MARKSMANPISTOL</t>
        </is>
      </c>
      <c r="C80" s="2" t="inlineStr">
        <is>
          <t>Pistolet</t>
        </is>
      </c>
      <c r="D80" s="2" t="inlineStr">
        <is>
          <t>Munitions .22</t>
        </is>
      </c>
      <c r="E80" s="2" t="n">
        <v>1.59</v>
      </c>
      <c r="F80" s="2" t="inlineStr">
        <is>
          <t>Non vendu (saisie, police, staff)</t>
        </is>
      </c>
      <c r="G80" s="2" t="n"/>
    </row>
    <row r="81">
      <c r="A81" s="4" t="inlineStr">
        <is>
          <t>Pistolet en céramique</t>
        </is>
      </c>
      <c r="B81" s="4" t="inlineStr">
        <is>
          <t>WEAPON_CERAMICPISTOL</t>
        </is>
      </c>
      <c r="C81" s="4" t="inlineStr">
        <is>
          <t>Pistolet</t>
        </is>
      </c>
      <c r="D81" s="4" t="inlineStr">
        <is>
          <t>Munitions 9 mm</t>
        </is>
      </c>
      <c r="E81" s="4" t="n">
        <v>0.8</v>
      </c>
      <c r="F81" s="4" t="inlineStr">
        <is>
          <t>Non vendu (saisie, police, staff)</t>
        </is>
      </c>
      <c r="G81" s="4" t="n"/>
    </row>
    <row r="82">
      <c r="A82" s="2" t="inlineStr">
        <is>
          <t>Pistolet lourd</t>
        </is>
      </c>
      <c r="B82" s="2" t="inlineStr">
        <is>
          <t>WEAPON_HEAVYPISTOL</t>
        </is>
      </c>
      <c r="C82" s="2" t="inlineStr">
        <is>
          <t>Pistolet</t>
        </is>
      </c>
      <c r="D82" s="2" t="inlineStr">
        <is>
          <t>Munitions .45</t>
        </is>
      </c>
      <c r="E82" s="2" t="n">
        <v>1.1</v>
      </c>
      <c r="F82" s="2" t="inlineStr">
        <is>
          <t>Non vendu (saisie, police, staff)</t>
        </is>
      </c>
      <c r="G82" s="2" t="n"/>
    </row>
    <row r="83">
      <c r="A83" s="4" t="inlineStr">
        <is>
          <t>Pistolet vintage</t>
        </is>
      </c>
      <c r="B83" s="4" t="inlineStr">
        <is>
          <t>WEAPON_VINTAGEPISTOL</t>
        </is>
      </c>
      <c r="C83" s="4" t="inlineStr">
        <is>
          <t>Pistolet</t>
        </is>
      </c>
      <c r="D83" s="4" t="inlineStr">
        <is>
          <t>Munitions 9 mm</t>
        </is>
      </c>
      <c r="E83" s="4" t="n">
        <v>0.7</v>
      </c>
      <c r="F83" s="4" t="inlineStr">
        <is>
          <t>Non vendu (saisie, police, staff)</t>
        </is>
      </c>
      <c r="G83" s="4" t="n"/>
    </row>
    <row r="84">
      <c r="A84" s="2" t="inlineStr">
        <is>
          <t>Revolver</t>
        </is>
      </c>
      <c r="B84" s="2" t="inlineStr">
        <is>
          <t>WEAPON_REVOLVER</t>
        </is>
      </c>
      <c r="C84" s="2" t="inlineStr">
        <is>
          <t>Pistolet</t>
        </is>
      </c>
      <c r="D84" s="2" t="inlineStr">
        <is>
          <t>Munitions .44 Magnum</t>
        </is>
      </c>
      <c r="E84" s="2" t="n">
        <v>2.26</v>
      </c>
      <c r="F84" s="2" t="inlineStr">
        <is>
          <t>Non vendu (saisie, police, staff)</t>
        </is>
      </c>
      <c r="G84" s="2" t="n"/>
    </row>
    <row r="85">
      <c r="A85" s="4" t="inlineStr">
        <is>
          <t>Revolver de la Marine</t>
        </is>
      </c>
      <c r="B85" s="4" t="inlineStr">
        <is>
          <t>WEAPON_NAVYREVOLVER</t>
        </is>
      </c>
      <c r="C85" s="4" t="inlineStr">
        <is>
          <t>Pistolet</t>
        </is>
      </c>
      <c r="D85" s="4" t="inlineStr">
        <is>
          <t>Munitions .44 Magnum</t>
        </is>
      </c>
      <c r="E85" s="4" t="n">
        <v>4</v>
      </c>
      <c r="F85" s="4" t="inlineStr">
        <is>
          <t>Non vendu (saisie, police, staff)</t>
        </is>
      </c>
      <c r="G85" s="4" t="n"/>
    </row>
    <row r="86">
      <c r="A86" s="2" t="inlineStr">
        <is>
          <t>Revolver double action</t>
        </is>
      </c>
      <c r="B86" s="2" t="inlineStr">
        <is>
          <t>WEAPON_DOUBLEACTION</t>
        </is>
      </c>
      <c r="C86" s="2" t="inlineStr">
        <is>
          <t>Pistolet</t>
        </is>
      </c>
      <c r="D86" s="2" t="inlineStr">
        <is>
          <t>Munitions .38</t>
        </is>
      </c>
      <c r="E86" s="2" t="n">
        <v>0.9399999999999999</v>
      </c>
      <c r="F86" s="2" t="inlineStr">
        <is>
          <t>Non vendu (saisie, police, staff)</t>
        </is>
      </c>
      <c r="G86" s="2" t="n"/>
    </row>
    <row r="87">
      <c r="A87" s="4" t="inlineStr">
        <is>
          <t>Taser</t>
        </is>
      </c>
      <c r="B87" s="4" t="inlineStr">
        <is>
          <t>WEAPON_STUNGUN</t>
        </is>
      </c>
      <c r="C87" s="4" t="inlineStr">
        <is>
          <t>Pistolet</t>
        </is>
      </c>
      <c r="D87" s="4" t="inlineStr">
        <is>
          <t>—</t>
        </is>
      </c>
      <c r="E87" s="4" t="n">
        <v>0.23</v>
      </c>
      <c r="F87" s="4" t="inlineStr">
        <is>
          <t>Non vendu (saisie, police, staff)</t>
        </is>
      </c>
      <c r="G87" s="4" t="n"/>
    </row>
    <row r="88">
      <c r="A88" s="2" t="inlineStr">
        <is>
          <t>Pistolet Mk II</t>
        </is>
      </c>
      <c r="B88" s="2" t="inlineStr">
        <is>
          <t>WEAPON_PISTOL_MK2</t>
        </is>
      </c>
      <c r="C88" s="2" t="inlineStr">
        <is>
          <t>Pistolet (Mk II)</t>
        </is>
      </c>
      <c r="D88" s="2" t="inlineStr">
        <is>
          <t>Munitions 9 mm</t>
        </is>
      </c>
      <c r="E88" s="2" t="n">
        <v>1</v>
      </c>
      <c r="F88" s="2" t="inlineStr">
        <is>
          <t>Non vendu (saisie, police, staff)</t>
        </is>
      </c>
      <c r="G88" s="2" t="n"/>
    </row>
    <row r="89">
      <c r="A89" s="4" t="inlineStr">
        <is>
          <t>Pistolet de poche Mk II</t>
        </is>
      </c>
      <c r="B89" s="4" t="inlineStr">
        <is>
          <t>WEAPON_SNSPISTOL_MK2</t>
        </is>
      </c>
      <c r="C89" s="4" t="inlineStr">
        <is>
          <t>Pistolet (Mk II)</t>
        </is>
      </c>
      <c r="D89" s="4" t="inlineStr">
        <is>
          <t>Munitions .45</t>
        </is>
      </c>
      <c r="E89" s="4" t="n">
        <v>0.47</v>
      </c>
      <c r="F89" s="4" t="inlineStr">
        <is>
          <t>Non vendu (saisie, police, staff)</t>
        </is>
      </c>
      <c r="G89" s="4" t="n"/>
    </row>
    <row r="90">
      <c r="A90" s="2" t="inlineStr">
        <is>
          <t>Revolver Mk II</t>
        </is>
      </c>
      <c r="B90" s="2" t="inlineStr">
        <is>
          <t>WEAPON_REVOLVER_MK2</t>
        </is>
      </c>
      <c r="C90" s="2" t="inlineStr">
        <is>
          <t>Pistolet (Mk II)</t>
        </is>
      </c>
      <c r="D90" s="2" t="inlineStr">
        <is>
          <t>Munitions .44 Magnum</t>
        </is>
      </c>
      <c r="E90" s="2" t="n">
        <v>2.6</v>
      </c>
      <c r="F90" s="2" t="inlineStr">
        <is>
          <t>Non vendu (saisie, police, staff)</t>
        </is>
      </c>
      <c r="G90" s="2" t="n"/>
    </row>
    <row r="91">
      <c r="A91" s="4" t="inlineStr">
        <is>
          <t>Arme de défense personnelle</t>
        </is>
      </c>
      <c r="B91" s="4" t="inlineStr">
        <is>
          <t>WEAPON_COMBATPDW</t>
        </is>
      </c>
      <c r="C91" s="4" t="inlineStr">
        <is>
          <t>Pistolet-mitrailleur</t>
        </is>
      </c>
      <c r="D91" s="4" t="inlineStr">
        <is>
          <t>Munitions 9 mm</t>
        </is>
      </c>
      <c r="E91" s="4" t="n">
        <v>2.3</v>
      </c>
      <c r="F91" s="4" t="inlineStr">
        <is>
          <t>Non vendu (saisie, police, staff)</t>
        </is>
      </c>
      <c r="G91" s="4" t="n"/>
    </row>
    <row r="92">
      <c r="A92" s="2" t="inlineStr">
        <is>
          <t>Carabine atomiseur</t>
        </is>
      </c>
      <c r="B92" s="2" t="inlineStr">
        <is>
          <t>WEAPON_RAYCARBINE</t>
        </is>
      </c>
      <c r="C92" s="2" t="inlineStr">
        <is>
          <t>Pistolet-mitrailleur</t>
        </is>
      </c>
      <c r="D92" s="2" t="inlineStr">
        <is>
          <t>Charge laser</t>
        </is>
      </c>
      <c r="E92" s="2" t="n">
        <v>3.62</v>
      </c>
      <c r="F92" s="2" t="inlineStr">
        <is>
          <t>Non vendu (saisie, police, staff)</t>
        </is>
      </c>
      <c r="G92" s="2" t="n"/>
    </row>
    <row r="93">
      <c r="A93" s="4" t="inlineStr">
        <is>
          <t>Micro-mitraillette</t>
        </is>
      </c>
      <c r="B93" s="4" t="inlineStr">
        <is>
          <t>WEAPON_MICROSMG</t>
        </is>
      </c>
      <c r="C93" s="4" t="inlineStr">
        <is>
          <t>Pistolet-mitrailleur</t>
        </is>
      </c>
      <c r="D93" s="4" t="inlineStr">
        <is>
          <t>Munitions .45</t>
        </is>
      </c>
      <c r="E93" s="4" t="n">
        <v>3</v>
      </c>
      <c r="F93" s="4" t="inlineStr">
        <is>
          <t>Marché noir 18 000 $ sale, stock 3/jour · gang seulement</t>
        </is>
      </c>
      <c r="G93" s="5" t="n">
        <v>18000</v>
      </c>
    </row>
    <row r="94">
      <c r="A94" s="2" t="inlineStr">
        <is>
          <t>Mini mitraillette</t>
        </is>
      </c>
      <c r="B94" s="2" t="inlineStr">
        <is>
          <t>WEAPON_MINISMG</t>
        </is>
      </c>
      <c r="C94" s="2" t="inlineStr">
        <is>
          <t>Pistolet-mitrailleur</t>
        </is>
      </c>
      <c r="D94" s="2" t="inlineStr">
        <is>
          <t>Munitions 9 mm</t>
        </is>
      </c>
      <c r="E94" s="2" t="n">
        <v>1.27</v>
      </c>
      <c r="F94" s="2" t="inlineStr">
        <is>
          <t>Non vendu (saisie, police, staff)</t>
        </is>
      </c>
      <c r="G94" s="2" t="n"/>
    </row>
    <row r="95">
      <c r="A95" s="4" t="inlineStr">
        <is>
          <t>Mitraillette</t>
        </is>
      </c>
      <c r="B95" s="4" t="inlineStr">
        <is>
          <t>WEAPON_SMG</t>
        </is>
      </c>
      <c r="C95" s="4" t="inlineStr">
        <is>
          <t>Pistolet-mitrailleur</t>
        </is>
      </c>
      <c r="D95" s="4" t="inlineStr">
        <is>
          <t>Munitions 9 mm</t>
        </is>
      </c>
      <c r="E95" s="4" t="n">
        <v>3.08</v>
      </c>
      <c r="F95" s="4" t="inlineStr">
        <is>
          <t>Non vendu (saisie, police, staff)</t>
        </is>
      </c>
      <c r="G95" s="4" t="n"/>
    </row>
    <row r="96">
      <c r="A96" s="2" t="inlineStr">
        <is>
          <t>Mitraillette d'assaut</t>
        </is>
      </c>
      <c r="B96" s="2" t="inlineStr">
        <is>
          <t>WEAPON_ASSAULTSMG</t>
        </is>
      </c>
      <c r="C96" s="2" t="inlineStr">
        <is>
          <t>Pistolet-mitrailleur</t>
        </is>
      </c>
      <c r="D96" s="2" t="inlineStr">
        <is>
          <t>Munitions 5,56</t>
        </is>
      </c>
      <c r="E96" s="2" t="n">
        <v>2.9</v>
      </c>
      <c r="F96" s="2" t="inlineStr">
        <is>
          <t>Non vendu (saisie, police, staff)</t>
        </is>
      </c>
      <c r="G96" s="2" t="n"/>
    </row>
    <row r="97">
      <c r="A97" s="4" t="inlineStr">
        <is>
          <t>Mitraillette tactique</t>
        </is>
      </c>
      <c r="B97" s="4" t="inlineStr">
        <is>
          <t>WEAPON_TECPISTOL</t>
        </is>
      </c>
      <c r="C97" s="4" t="inlineStr">
        <is>
          <t>Pistolet-mitrailleur</t>
        </is>
      </c>
      <c r="D97" s="4" t="inlineStr">
        <is>
          <t>Munitions 9 mm</t>
        </is>
      </c>
      <c r="E97" s="4" t="n">
        <v>1.5</v>
      </c>
      <c r="F97" s="4" t="inlineStr">
        <is>
          <t>Non vendu (saisie, police, staff)</t>
        </is>
      </c>
      <c r="G97" s="4" t="n"/>
    </row>
    <row r="98">
      <c r="A98" s="2" t="inlineStr">
        <is>
          <t>Pistolet-mitrailleur</t>
        </is>
      </c>
      <c r="B98" s="2" t="inlineStr">
        <is>
          <t>WEAPON_MACHINEPISTOL</t>
        </is>
      </c>
      <c r="C98" s="2" t="inlineStr">
        <is>
          <t>Pistolet-mitrailleur</t>
        </is>
      </c>
      <c r="D98" s="2" t="inlineStr">
        <is>
          <t>Munitions 9 mm</t>
        </is>
      </c>
      <c r="E98" s="2" t="n">
        <v>1.4</v>
      </c>
      <c r="F98" s="2" t="inlineStr">
        <is>
          <t>Non vendu (saisie, police, staff)</t>
        </is>
      </c>
      <c r="G98" s="2" t="n"/>
    </row>
    <row r="99">
      <c r="A99" s="4" t="inlineStr">
        <is>
          <t>Mitraillette Mk II</t>
        </is>
      </c>
      <c r="B99" s="4" t="inlineStr">
        <is>
          <t>WEAPON_SMG_MK2</t>
        </is>
      </c>
      <c r="C99" s="4" t="inlineStr">
        <is>
          <t>Pistolet-mitrailleur (Mk II)</t>
        </is>
      </c>
      <c r="D99" s="4" t="inlineStr">
        <is>
          <t>Munitions 9 mm</t>
        </is>
      </c>
      <c r="E99" s="4" t="n">
        <v>2.7</v>
      </c>
      <c r="F99" s="4" t="inlineStr">
        <is>
          <t>Non vendu (saisie, police, staff)</t>
        </is>
      </c>
      <c r="G99" s="4" t="n"/>
    </row>
    <row r="100">
      <c r="A100" s="2" t="inlineStr">
        <is>
          <t>Balle</t>
        </is>
      </c>
      <c r="B100" s="2" t="inlineStr">
        <is>
          <t>WEAPON_BALL</t>
        </is>
      </c>
      <c r="C100" s="2" t="inlineStr">
        <is>
          <t>Projectile</t>
        </is>
      </c>
      <c r="D100" s="2" t="inlineStr">
        <is>
          <t>—</t>
        </is>
      </c>
      <c r="E100" s="2" t="n">
        <v>0.15</v>
      </c>
      <c r="F100" s="2" t="inlineStr">
        <is>
          <t>Non vendu (saisie, police, staff)</t>
        </is>
      </c>
      <c r="G100" s="2" t="n"/>
    </row>
    <row r="101">
      <c r="A101" s="4" t="inlineStr">
        <is>
          <t>Bombe artisanale</t>
        </is>
      </c>
      <c r="B101" s="4" t="inlineStr">
        <is>
          <t>WEAPON_PIPEBOMB</t>
        </is>
      </c>
      <c r="C101" s="4" t="inlineStr">
        <is>
          <t>Projectile</t>
        </is>
      </c>
      <c r="D101" s="4" t="inlineStr">
        <is>
          <t>—</t>
        </is>
      </c>
      <c r="E101" s="4" t="n">
        <v>1.8</v>
      </c>
      <c r="F101" s="4" t="inlineStr">
        <is>
          <t>Non vendu (saisie, police, staff)</t>
        </is>
      </c>
      <c r="G101" s="4" t="n"/>
    </row>
    <row r="102">
      <c r="A102" s="2" t="inlineStr">
        <is>
          <t>Bombe collante</t>
        </is>
      </c>
      <c r="B102" s="2" t="inlineStr">
        <is>
          <t>WEAPON_STICKYBOMB</t>
        </is>
      </c>
      <c r="C102" s="2" t="inlineStr">
        <is>
          <t>Projectile</t>
        </is>
      </c>
      <c r="D102" s="2" t="inlineStr">
        <is>
          <t>—</t>
        </is>
      </c>
      <c r="E102" s="2" t="n">
        <v>1</v>
      </c>
      <c r="F102" s="2" t="inlineStr">
        <is>
          <t>Non vendu (saisie, police, staff)</t>
        </is>
      </c>
      <c r="G102" s="2" t="n"/>
    </row>
    <row r="103">
      <c r="A103" s="4" t="inlineStr">
        <is>
          <t>Boule de neige</t>
        </is>
      </c>
      <c r="B103" s="4" t="inlineStr">
        <is>
          <t>WEAPON_SNOWBALL</t>
        </is>
      </c>
      <c r="C103" s="4" t="inlineStr">
        <is>
          <t>Projectile</t>
        </is>
      </c>
      <c r="D103" s="4" t="inlineStr">
        <is>
          <t>—</t>
        </is>
      </c>
      <c r="E103" s="4" t="n">
        <v>0.01</v>
      </c>
      <c r="F103" s="4" t="inlineStr">
        <is>
          <t>Non vendu (saisie, police, staff)</t>
        </is>
      </c>
      <c r="G103" s="4" t="n"/>
    </row>
    <row r="104">
      <c r="A104" s="2" t="inlineStr">
        <is>
          <t>Cocktail Molotov</t>
        </is>
      </c>
      <c r="B104" s="2" t="inlineStr">
        <is>
          <t>WEAPON_MOLOTOV</t>
        </is>
      </c>
      <c r="C104" s="2" t="inlineStr">
        <is>
          <t>Projectile</t>
        </is>
      </c>
      <c r="D104" s="2" t="inlineStr">
        <is>
          <t>—</t>
        </is>
      </c>
      <c r="E104" s="2" t="n">
        <v>1.8</v>
      </c>
      <c r="F104" s="2" t="inlineStr">
        <is>
          <t>Non vendu (saisie, police, staff)</t>
        </is>
      </c>
      <c r="G104" s="2" t="n"/>
    </row>
    <row r="105">
      <c r="A105" s="4" t="inlineStr">
        <is>
          <t>Fumigène</t>
        </is>
      </c>
      <c r="B105" s="4" t="inlineStr">
        <is>
          <t>WEAPON_SMOKEGRENADE</t>
        </is>
      </c>
      <c r="C105" s="4" t="inlineStr">
        <is>
          <t>Projectile</t>
        </is>
      </c>
      <c r="D105" s="4" t="inlineStr">
        <is>
          <t>—</t>
        </is>
      </c>
      <c r="E105" s="4" t="n">
        <v>0.6</v>
      </c>
      <c r="F105" s="4" t="inlineStr">
        <is>
          <t>Non vendu (saisie, police, staff)</t>
        </is>
      </c>
      <c r="G105" s="4" t="n"/>
    </row>
    <row r="106">
      <c r="A106" s="2" t="inlineStr">
        <is>
          <t>Fusée éclairante</t>
        </is>
      </c>
      <c r="B106" s="2" t="inlineStr">
        <is>
          <t>WEAPON_FLARE</t>
        </is>
      </c>
      <c r="C106" s="2" t="inlineStr">
        <is>
          <t>Projectile</t>
        </is>
      </c>
      <c r="D106" s="2" t="inlineStr">
        <is>
          <t>—</t>
        </is>
      </c>
      <c r="E106" s="2" t="n">
        <v>0.25</v>
      </c>
      <c r="F106" s="2" t="inlineStr">
        <is>
          <t>Non vendu (saisie, police, staff)</t>
        </is>
      </c>
      <c r="G106" s="2" t="n"/>
    </row>
    <row r="107">
      <c r="A107" s="4" t="inlineStr">
        <is>
          <t>Grenade</t>
        </is>
      </c>
      <c r="B107" s="4" t="inlineStr">
        <is>
          <t>WEAPON_GRENADE</t>
        </is>
      </c>
      <c r="C107" s="4" t="inlineStr">
        <is>
          <t>Projectile</t>
        </is>
      </c>
      <c r="D107" s="4" t="inlineStr">
        <is>
          <t>—</t>
        </is>
      </c>
      <c r="E107" s="4" t="n">
        <v>0.4</v>
      </c>
      <c r="F107" s="4" t="inlineStr">
        <is>
          <t>Non vendu (saisie, police, staff)</t>
        </is>
      </c>
      <c r="G107" s="4" t="n"/>
    </row>
    <row r="108">
      <c r="A108" s="2" t="inlineStr">
        <is>
          <t>Grenade lacrymogène</t>
        </is>
      </c>
      <c r="B108" s="2" t="inlineStr">
        <is>
          <t>WEAPON_BZGAS</t>
        </is>
      </c>
      <c r="C108" s="2" t="inlineStr">
        <is>
          <t>Projectile</t>
        </is>
      </c>
      <c r="D108" s="2" t="inlineStr">
        <is>
          <t>—</t>
        </is>
      </c>
      <c r="E108" s="2" t="n">
        <v>0.6</v>
      </c>
      <c r="F108" s="2" t="inlineStr">
        <is>
          <t>Non vendu (saisie, police, staff)</t>
        </is>
      </c>
      <c r="G108" s="2" t="n"/>
    </row>
    <row r="109">
      <c r="A109" s="4" t="inlineStr">
        <is>
          <t>Mine de proximité</t>
        </is>
      </c>
      <c r="B109" s="4" t="inlineStr">
        <is>
          <t>WEAPON_PROXMINE</t>
        </is>
      </c>
      <c r="C109" s="4" t="inlineStr">
        <is>
          <t>Projectile</t>
        </is>
      </c>
      <c r="D109" s="4" t="inlineStr">
        <is>
          <t>—</t>
        </is>
      </c>
      <c r="E109" s="4" t="n">
        <v>2.5</v>
      </c>
      <c r="F109" s="4" t="inlineStr">
        <is>
          <t>Non vendu (saisie, police, staff)</t>
        </is>
      </c>
      <c r="G109" s="4" t="n"/>
    </row>
    <row r="111">
      <c r="A111" s="6" t="inlineStr">
        <is>
          <t>Noms : server/locales-fr/weapons.json · prix : Ammu-Nation (server/overrides/ox_inventory/data/shops.lua, permis exigé) et marché noir (gs_blackmarket, argent sale, nuit, stock par jour, +40 % en liquide propre) · poids : ox_inventory.</t>
        </is>
      </c>
    </row>
  </sheetData>
  <autoFilter ref="A1:G1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60" customWidth="1" min="3" max="3"/>
    <col width="11" customWidth="1" min="4" max="4"/>
    <col width="50" customWidth="1" min="5" max="5"/>
    <col width="11" customWidth="1" min="6" max="6"/>
  </cols>
  <sheetData>
    <row r="1" ht="30" customHeight="1">
      <c r="A1" s="1" t="inlineStr">
        <is>
          <t>Munition</t>
        </is>
      </c>
      <c r="B1" s="1" t="inlineStr">
        <is>
          <t>Code</t>
        </is>
      </c>
      <c r="C1" s="1" t="inlineStr">
        <is>
          <t>Armes qui l'utilisent</t>
        </is>
      </c>
      <c r="D1" s="1" t="inlineStr">
        <is>
          <t>Poids (kg)</t>
        </is>
      </c>
      <c r="E1" s="1" t="inlineStr">
        <is>
          <t>Où l'acheter</t>
        </is>
      </c>
      <c r="F1" s="1" t="inlineStr">
        <is>
          <t>Prix</t>
        </is>
      </c>
    </row>
    <row r="2">
      <c r="A2" s="2" t="inlineStr">
        <is>
          <t>Balle de mousquet</t>
        </is>
      </c>
      <c r="B2" s="2" t="inlineStr">
        <is>
          <t>ammo-musket</t>
        </is>
      </c>
      <c r="C2" s="2" t="inlineStr">
        <is>
          <t>Mousquet</t>
        </is>
      </c>
      <c r="D2" s="2" t="n">
        <v>0.04</v>
      </c>
      <c r="E2" s="2" t="inlineStr">
        <is>
          <t>Ammu-Nation 8 $ (permis de chasse)</t>
        </is>
      </c>
      <c r="F2" s="3" t="n">
        <v>8</v>
      </c>
    </row>
    <row r="3">
      <c r="A3" s="4" t="inlineStr">
        <is>
          <t>Cartouche de détresse</t>
        </is>
      </c>
      <c r="B3" s="4" t="inlineStr">
        <is>
          <t>ammo-flare</t>
        </is>
      </c>
      <c r="C3" s="4" t="inlineStr">
        <is>
          <t>Pistolet de détresse</t>
        </is>
      </c>
      <c r="D3" s="4" t="n">
        <v>0.04</v>
      </c>
      <c r="E3" s="4" t="inlineStr">
        <is>
          <t>Non vendu (saisie, police, staff)</t>
        </is>
      </c>
      <c r="F3" s="4" t="n"/>
    </row>
    <row r="4">
      <c r="A4" s="2" t="inlineStr">
        <is>
          <t>Cartouches calibre 12</t>
        </is>
      </c>
      <c r="B4" s="2" t="inlineStr">
        <is>
          <t>ammo-shotgun</t>
        </is>
      </c>
      <c r="C4" s="2" t="inlineStr">
        <is>
          <t>Fusil de combat, Fusil à canon scié, Fusil à double canon, Fusil à pompe, Fusil à pompe Mk II, Fusil à pompe automatique, Fusil à pompe bullpup, Fusil à pompe d'assaut, Fusil à pompe lourd</t>
        </is>
      </c>
      <c r="D4" s="2" t="n">
        <v>0.04</v>
      </c>
      <c r="E4" s="2" t="inlineStr">
        <is>
          <t>Ammu-Nation 12 $ (permis de port d'arme) · Marché noir 300 $ sale, stock 30/jour</t>
        </is>
      </c>
      <c r="F4" s="3" t="n">
        <v>12</v>
      </c>
    </row>
    <row r="5">
      <c r="A5" s="4" t="inlineStr">
        <is>
          <t>Charge IEM</t>
        </is>
      </c>
      <c r="B5" s="4" t="inlineStr">
        <is>
          <t>ammo-emp</t>
        </is>
      </c>
      <c r="C5" s="4" t="inlineStr">
        <is>
          <t>Lanceur IEM compact</t>
        </is>
      </c>
      <c r="D5" s="4" t="n">
        <v>0.4</v>
      </c>
      <c r="E5" s="4" t="inlineStr">
        <is>
          <t>Non vendu (saisie, police, staff)</t>
        </is>
      </c>
      <c r="F5" s="4" t="n"/>
    </row>
    <row r="6">
      <c r="A6" s="2" t="inlineStr">
        <is>
          <t>Charge laser</t>
        </is>
      </c>
      <c r="B6" s="2" t="inlineStr">
        <is>
          <t>ammo-laser</t>
        </is>
      </c>
      <c r="C6" s="2" t="inlineStr">
        <is>
          <t>Carabine atomiseur, Minigun atomiseur</t>
        </is>
      </c>
      <c r="D6" s="2" t="n">
        <v>0</v>
      </c>
      <c r="E6" s="2" t="inlineStr">
        <is>
          <t>Non vendu (saisie, police, staff)</t>
        </is>
      </c>
      <c r="F6" s="2" t="n"/>
    </row>
    <row r="7">
      <c r="A7" s="4" t="inlineStr">
        <is>
          <t>Charge électromagnétique</t>
        </is>
      </c>
      <c r="B7" s="4" t="inlineStr">
        <is>
          <t>ammo-railgun</t>
        </is>
      </c>
      <c r="C7" s="4" t="inlineStr">
        <is>
          <t>Canon électromagnétique, Canon électromagnétique XM3</t>
        </is>
      </c>
      <c r="D7" s="4" t="n">
        <v>0.15</v>
      </c>
      <c r="E7" s="4" t="inlineStr">
        <is>
          <t>Non vendu (saisie, police, staff)</t>
        </is>
      </c>
      <c r="F7" s="4" t="n"/>
    </row>
    <row r="8">
      <c r="A8" s="2" t="inlineStr">
        <is>
          <t>Fusée de feu d'artifice</t>
        </is>
      </c>
      <c r="B8" s="2" t="inlineStr">
        <is>
          <t>ammo-firework</t>
        </is>
      </c>
      <c r="C8" s="2" t="inlineStr">
        <is>
          <t>Lance-feux d'artifice</t>
        </is>
      </c>
      <c r="D8" s="2" t="n">
        <v>0.2</v>
      </c>
      <c r="E8" s="2" t="inlineStr">
        <is>
          <t>Non vendu (saisie, police, staff)</t>
        </is>
      </c>
      <c r="F8" s="2" t="n"/>
    </row>
    <row r="9">
      <c r="A9" s="4" t="inlineStr">
        <is>
          <t>Grenade 40 mm</t>
        </is>
      </c>
      <c r="B9" s="4" t="inlineStr">
        <is>
          <t>ammo-grenade</t>
        </is>
      </c>
      <c r="C9" s="4" t="inlineStr">
        <is>
          <t>Lance-grenades, Lance-grenades compact</t>
        </is>
      </c>
      <c r="D9" s="4" t="n">
        <v>0.4</v>
      </c>
      <c r="E9" s="4" t="inlineStr">
        <is>
          <t>Non vendu (saisie, police, staff)</t>
        </is>
      </c>
      <c r="F9" s="4" t="n"/>
    </row>
    <row r="10">
      <c r="A10" s="2" t="inlineStr">
        <is>
          <t>Munitions .22</t>
        </is>
      </c>
      <c r="B10" s="2" t="inlineStr">
        <is>
          <t>ammo-22</t>
        </is>
      </c>
      <c r="C10" s="2" t="inlineStr">
        <is>
          <t>Pistolet de précision</t>
        </is>
      </c>
      <c r="D10" s="2" t="n">
        <v>0</v>
      </c>
      <c r="E10" s="2" t="inlineStr">
        <is>
          <t>Non vendu (saisie, police, staff)</t>
        </is>
      </c>
      <c r="F10" s="2" t="n"/>
    </row>
    <row r="11">
      <c r="A11" s="4" t="inlineStr">
        <is>
          <t>Munitions .38</t>
        </is>
      </c>
      <c r="B11" s="4" t="inlineStr">
        <is>
          <t>ammo-38</t>
        </is>
      </c>
      <c r="C11" s="4" t="inlineStr">
        <is>
          <t>Revolver double action</t>
        </is>
      </c>
      <c r="D11" s="4" t="n">
        <v>0.01</v>
      </c>
      <c r="E11" s="4" t="inlineStr">
        <is>
          <t>Non vendu (saisie, police, staff)</t>
        </is>
      </c>
      <c r="F11" s="4" t="n"/>
    </row>
    <row r="12">
      <c r="A12" s="2" t="inlineStr">
        <is>
          <t>Munitions .44 Magnum</t>
        </is>
      </c>
      <c r="B12" s="2" t="inlineStr">
        <is>
          <t>ammo-44</t>
        </is>
      </c>
      <c r="C12" s="2" t="inlineStr">
        <is>
          <t>Revolver, Revolver Mk II, Revolver de la Marine</t>
        </is>
      </c>
      <c r="D12" s="2" t="n">
        <v>0.02</v>
      </c>
      <c r="E12" s="2" t="inlineStr">
        <is>
          <t>Non vendu (saisie, police, staff)</t>
        </is>
      </c>
      <c r="F12" s="2" t="n"/>
    </row>
    <row r="13">
      <c r="A13" s="4" t="inlineStr">
        <is>
          <t>Munitions .45</t>
        </is>
      </c>
      <c r="B13" s="4" t="inlineStr">
        <is>
          <t>ammo-45</t>
        </is>
      </c>
      <c r="C13" s="4" t="inlineStr">
        <is>
          <t>Micro-mitraillette, Mitraillette Gusenberg, Pistolet de poche, Pistolet de poche Mk II, Pistolet lourd</t>
        </is>
      </c>
      <c r="D13" s="4" t="n">
        <v>0.01</v>
      </c>
      <c r="E13" s="4" t="inlineStr">
        <is>
          <t>Ammu-Nation 7 $ (permis de port d'arme) · Marché noir 260 $ sale, stock 40/jour</t>
        </is>
      </c>
      <c r="F13" s="5" t="n">
        <v>7</v>
      </c>
    </row>
    <row r="14">
      <c r="A14" s="2" t="inlineStr">
        <is>
          <t>Munitions .50</t>
        </is>
      </c>
      <c r="B14" s="2" t="inlineStr">
        <is>
          <t>ammo-50</t>
        </is>
      </c>
      <c r="C14" s="2" t="inlineStr">
        <is>
          <t>Pistolet .50</t>
        </is>
      </c>
      <c r="D14" s="2" t="n">
        <v>0.04</v>
      </c>
      <c r="E14" s="2" t="inlineStr">
        <is>
          <t>Non vendu (saisie, police, staff)</t>
        </is>
      </c>
      <c r="F14" s="2" t="n"/>
    </row>
    <row r="15">
      <c r="A15" s="4" t="inlineStr">
        <is>
          <t>Munitions .50 BMG</t>
        </is>
      </c>
      <c r="B15" s="4" t="inlineStr">
        <is>
          <t>ammo-heavysniper</t>
        </is>
      </c>
      <c r="C15" s="4" t="inlineStr">
        <is>
          <t>Fusil de précision lourd, Fusil de précision lourd Mk II</t>
        </is>
      </c>
      <c r="D15" s="4" t="n">
        <v>0.05</v>
      </c>
      <c r="E15" s="4" t="inlineStr">
        <is>
          <t>Non vendu (saisie, police, staff)</t>
        </is>
      </c>
      <c r="F15" s="4" t="n"/>
    </row>
    <row r="16">
      <c r="A16" s="2" t="inlineStr">
        <is>
          <t>Munitions 5,56</t>
        </is>
      </c>
      <c r="B16" s="2" t="inlineStr">
        <is>
          <t>ammo-rifle</t>
        </is>
      </c>
      <c r="C16" s="2" t="inlineStr">
        <is>
          <t>Carabine, Carabine Mk II, Carabine spéciale, Carabine spéciale Mk II, Fusil avancé, Fusil bullpup, Fusil bullpup Mk II, Fusil lourd, Fusil militaire, Fusil tactique, Mitraillette d'assaut, Mitrailleuse de combat</t>
        </is>
      </c>
      <c r="D16" s="2" t="n">
        <v>0</v>
      </c>
      <c r="E16" s="2" t="inlineStr">
        <is>
          <t>Marché noir 650 $ sale, stock 25/jour</t>
        </is>
      </c>
      <c r="F16" s="3" t="n">
        <v>650</v>
      </c>
    </row>
    <row r="17">
      <c r="A17" s="4" t="inlineStr">
        <is>
          <t>Munitions 7,62</t>
        </is>
      </c>
      <c r="B17" s="4" t="inlineStr">
        <is>
          <t>ammo-rifle2</t>
        </is>
      </c>
      <c r="C17" s="4" t="inlineStr">
        <is>
          <t>Fusil compact, Fusil d'assaut, Fusil d'assaut Mk II, Fusil de combat, Minigun, Mitrailleuse, Mitrailleuse de combat Mk II</t>
        </is>
      </c>
      <c r="D17" s="4" t="n">
        <v>0.01</v>
      </c>
      <c r="E17" s="4" t="inlineStr">
        <is>
          <t>Marché noir 750 $ sale, stock 20/jour</t>
        </is>
      </c>
      <c r="F17" s="5" t="n">
        <v>750</v>
      </c>
    </row>
    <row r="18">
      <c r="A18" s="2" t="inlineStr">
        <is>
          <t>Munitions 7,62 (précision)</t>
        </is>
      </c>
      <c r="B18" s="2" t="inlineStr">
        <is>
          <t>ammo-sniper</t>
        </is>
      </c>
      <c r="C18" s="2" t="inlineStr">
        <is>
          <t>Fusil de précision, Fusil de précision (chasse), Fusil de tireur d'élite, Fusil de tireur d'élite Mk II</t>
        </is>
      </c>
      <c r="D18" s="2" t="n">
        <v>0.01</v>
      </c>
      <c r="E18" s="2" t="inlineStr">
        <is>
          <t>Non vendu (saisie, police, staff)</t>
        </is>
      </c>
      <c r="F18" s="2" t="n"/>
    </row>
    <row r="19">
      <c r="A19" s="4" t="inlineStr">
        <is>
          <t>Munitions 9 mm</t>
        </is>
      </c>
      <c r="B19" s="4" t="inlineStr">
        <is>
          <t>ammo-9</t>
        </is>
      </c>
      <c r="C19" s="4" t="inlineStr">
        <is>
          <t>Arme de défense personnelle, Mini mitraillette, Mitraillette, Mitraillette Mk II, Mitraillette tactique, Pistolet, Pistolet Mk II, Pistolet Perico, Pistolet WM 29, Pistolet automatique, Pistolet de combat, Pistolet en céramique, Pistolet vintage, Pistolet-mitrailleur</t>
        </is>
      </c>
      <c r="D19" s="4" t="n">
        <v>0.01</v>
      </c>
      <c r="E19" s="4" t="inlineStr">
        <is>
          <t>Ammu-Nation 6 $ (permis de port d'arme) · Marché noir 220 $ sale, stock 60/jour</t>
        </is>
      </c>
      <c r="F19" s="5" t="n">
        <v>6</v>
      </c>
    </row>
    <row r="20">
      <c r="A20" s="2" t="inlineStr">
        <is>
          <t>Roquette</t>
        </is>
      </c>
      <c r="B20" s="2" t="inlineStr">
        <is>
          <t>ammo-rocket</t>
        </is>
      </c>
      <c r="C20" s="2" t="inlineStr">
        <is>
          <t>Lance-missiles, Lance-roquettes</t>
        </is>
      </c>
      <c r="D20" s="2" t="n">
        <v>0.5</v>
      </c>
      <c r="E20" s="2" t="inlineStr">
        <is>
          <t>Non vendu (saisie, police, staff)</t>
        </is>
      </c>
      <c r="F20" s="2" t="n"/>
    </row>
    <row r="22">
      <c r="A22" s="6" t="inlineStr">
        <is>
          <t>Ammu-Nation : 120 munitions par jour et par personnage, permis de port d'arme exigé (gs_blackmarket Config.Legal).</t>
        </is>
      </c>
    </row>
  </sheetData>
  <autoFilter ref="A1:F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1"/>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1" customWidth="1" min="3" max="3"/>
    <col width="50" customWidth="1" min="4" max="4"/>
    <col width="11" customWidth="1" min="5" max="5"/>
  </cols>
  <sheetData>
    <row r="1" ht="30" customHeight="1">
      <c r="A1" s="1" t="inlineStr">
        <is>
          <t>Accessoire</t>
        </is>
      </c>
      <c r="B1" s="1" t="inlineStr">
        <is>
          <t>Code</t>
        </is>
      </c>
      <c r="C1" s="1" t="inlineStr">
        <is>
          <t>Poids (kg)</t>
        </is>
      </c>
      <c r="D1" s="1" t="inlineStr">
        <is>
          <t>Où l'acheter</t>
        </is>
      </c>
      <c r="E1" s="1" t="inlineStr">
        <is>
          <t>Prix</t>
        </is>
      </c>
    </row>
    <row r="2">
      <c r="A2" s="2" t="inlineStr">
        <is>
          <t>Canon lourd</t>
        </is>
      </c>
      <c r="B2" s="2" t="inlineStr">
        <is>
          <t>at_barrel</t>
        </is>
      </c>
      <c r="C2" s="2" t="n">
        <v>0.28</v>
      </c>
      <c r="D2" s="2" t="inlineStr">
        <is>
          <t>Non vendu (saisie, police, staff)</t>
        </is>
      </c>
      <c r="E2" s="2" t="n"/>
    </row>
    <row r="3">
      <c r="A3" s="4" t="inlineStr">
        <is>
          <t>Chargeur grande capacité (fusil à pompe)</t>
        </is>
      </c>
      <c r="B3" s="4" t="inlineStr">
        <is>
          <t>at_clip_extended_shotgun</t>
        </is>
      </c>
      <c r="C3" s="4" t="n">
        <v>0.28</v>
      </c>
      <c r="D3" s="4" t="inlineStr">
        <is>
          <t>Non vendu (saisie, police, staff)</t>
        </is>
      </c>
      <c r="E3" s="4" t="n"/>
    </row>
    <row r="4">
      <c r="A4" s="2" t="inlineStr">
        <is>
          <t>Chargeur grande capacité (fusil)</t>
        </is>
      </c>
      <c r="B4" s="2" t="inlineStr">
        <is>
          <t>at_clip_extended_rifle</t>
        </is>
      </c>
      <c r="C4" s="2" t="n">
        <v>0.28</v>
      </c>
      <c r="D4" s="2" t="inlineStr">
        <is>
          <t>Non vendu (saisie, police, staff)</t>
        </is>
      </c>
      <c r="E4" s="2" t="n"/>
    </row>
    <row r="5">
      <c r="A5" s="4" t="inlineStr">
        <is>
          <t>Chargeur grande capacité (mitraillette)</t>
        </is>
      </c>
      <c r="B5" s="4" t="inlineStr">
        <is>
          <t>at_clip_extended_smg</t>
        </is>
      </c>
      <c r="C5" s="4" t="n">
        <v>0.28</v>
      </c>
      <c r="D5" s="4" t="inlineStr">
        <is>
          <t>Non vendu (saisie, police, staff)</t>
        </is>
      </c>
      <c r="E5" s="4" t="n"/>
    </row>
    <row r="6">
      <c r="A6" s="2" t="inlineStr">
        <is>
          <t>Chargeur grande capacité (mitrailleuse)</t>
        </is>
      </c>
      <c r="B6" s="2" t="inlineStr">
        <is>
          <t>at_clip_extended_mg</t>
        </is>
      </c>
      <c r="C6" s="2" t="n">
        <v>0.28</v>
      </c>
      <c r="D6" s="2" t="inlineStr">
        <is>
          <t>Non vendu (saisie, police, staff)</t>
        </is>
      </c>
      <c r="E6" s="2" t="n"/>
    </row>
    <row r="7">
      <c r="A7" s="4" t="inlineStr">
        <is>
          <t>Chargeur grande capacité (pistolet)</t>
        </is>
      </c>
      <c r="B7" s="4" t="inlineStr">
        <is>
          <t>at_clip_extended_pistol</t>
        </is>
      </c>
      <c r="C7" s="4" t="n">
        <v>0.28</v>
      </c>
      <c r="D7" s="4" t="inlineStr">
        <is>
          <t>Marché noir 3 000 $ sale, stock 6/jour</t>
        </is>
      </c>
      <c r="E7" s="5" t="n">
        <v>3000</v>
      </c>
    </row>
    <row r="8">
      <c r="A8" s="2" t="inlineStr">
        <is>
          <t>Chargeur grande capacité (précision)</t>
        </is>
      </c>
      <c r="B8" s="2" t="inlineStr">
        <is>
          <t>at_clip_extended_sniper</t>
        </is>
      </c>
      <c r="C8" s="2" t="n">
        <v>0.28</v>
      </c>
      <c r="D8" s="2" t="inlineStr">
        <is>
          <t>Non vendu (saisie, police, staff)</t>
        </is>
      </c>
      <c r="E8" s="2" t="n"/>
    </row>
    <row r="9">
      <c r="A9" s="4" t="inlineStr">
        <is>
          <t>Chargeur tambour (fusil à pompe)</t>
        </is>
      </c>
      <c r="B9" s="4" t="inlineStr">
        <is>
          <t>at_clip_drum_shotgun</t>
        </is>
      </c>
      <c r="C9" s="4" t="n">
        <v>0.28</v>
      </c>
      <c r="D9" s="4" t="inlineStr">
        <is>
          <t>Non vendu (saisie, police, staff)</t>
        </is>
      </c>
      <c r="E9" s="4" t="n"/>
    </row>
    <row r="10">
      <c r="A10" s="2" t="inlineStr">
        <is>
          <t>Chargeur tambour (fusil)</t>
        </is>
      </c>
      <c r="B10" s="2" t="inlineStr">
        <is>
          <t>at_clip_drum_rifle</t>
        </is>
      </c>
      <c r="C10" s="2" t="n">
        <v>0.28</v>
      </c>
      <c r="D10" s="2" t="inlineStr">
        <is>
          <t>Non vendu (saisie, police, staff)</t>
        </is>
      </c>
      <c r="E10" s="2" t="n"/>
    </row>
    <row r="11">
      <c r="A11" s="4" t="inlineStr">
        <is>
          <t>Chargeur tambour (mitraillette)</t>
        </is>
      </c>
      <c r="B11" s="4" t="inlineStr">
        <is>
          <t>at_clip_drum_smg</t>
        </is>
      </c>
      <c r="C11" s="4" t="n">
        <v>0.28</v>
      </c>
      <c r="D11" s="4" t="inlineStr">
        <is>
          <t>Non vendu (saisie, police, staff)</t>
        </is>
      </c>
      <c r="E11" s="4" t="n"/>
    </row>
    <row r="12">
      <c r="A12" s="2" t="inlineStr">
        <is>
          <t>Compensateur</t>
        </is>
      </c>
      <c r="B12" s="2" t="inlineStr">
        <is>
          <t>at_compensator</t>
        </is>
      </c>
      <c r="C12" s="2" t="n">
        <v>0.28</v>
      </c>
      <c r="D12" s="2" t="inlineStr">
        <is>
          <t>Non vendu (saisie, police, staff)</t>
        </is>
      </c>
      <c r="E12" s="2" t="n"/>
    </row>
    <row r="13">
      <c r="A13" s="4" t="inlineStr">
        <is>
          <t>Finition Ballas</t>
        </is>
      </c>
      <c r="B13" s="4" t="inlineStr">
        <is>
          <t>at_skin_ballas</t>
        </is>
      </c>
      <c r="C13" s="4" t="n">
        <v>0.05</v>
      </c>
      <c r="D13" s="4" t="inlineStr">
        <is>
          <t>Non vendu (saisie, police, staff)</t>
        </is>
      </c>
      <c r="E13" s="4" t="n"/>
    </row>
    <row r="14">
      <c r="A14" s="2" t="inlineStr">
        <is>
          <t>Finition Blagueurs</t>
        </is>
      </c>
      <c r="B14" s="2" t="inlineStr">
        <is>
          <t>at_skin_blagueurs</t>
        </is>
      </c>
      <c r="C14" s="2" t="n">
        <v>0.05</v>
      </c>
      <c r="D14" s="2" t="inlineStr">
        <is>
          <t>Non vendu (saisie, police, staff)</t>
        </is>
      </c>
      <c r="E14" s="2" t="n"/>
    </row>
    <row r="15">
      <c r="A15" s="4" t="inlineStr">
        <is>
          <t>Finition Boom</t>
        </is>
      </c>
      <c r="B15" s="4" t="inlineStr">
        <is>
          <t>at_skin_boom</t>
        </is>
      </c>
      <c r="C15" s="4" t="n">
        <v>0.05</v>
      </c>
      <c r="D15" s="4" t="inlineStr">
        <is>
          <t>Non vendu (saisie, police, staff)</t>
        </is>
      </c>
      <c r="E15" s="4" t="n"/>
    </row>
    <row r="16">
      <c r="A16" s="2" t="inlineStr">
        <is>
          <t>Finition Burger Shot</t>
        </is>
      </c>
      <c r="B16" s="2" t="inlineStr">
        <is>
          <t>at_skin_burgershot</t>
        </is>
      </c>
      <c r="C16" s="2" t="n">
        <v>0.05</v>
      </c>
      <c r="D16" s="2" t="inlineStr">
        <is>
          <t>Non vendu (saisie, police, staff)</t>
        </is>
      </c>
      <c r="E16" s="2" t="n"/>
    </row>
    <row r="17">
      <c r="A17" s="4" t="inlineStr">
        <is>
          <t>Finition Cluckin' Bell</t>
        </is>
      </c>
      <c r="B17" s="4" t="inlineStr">
        <is>
          <t>at_skin_cluckinbell</t>
        </is>
      </c>
      <c r="C17" s="4" t="n">
        <v>0.05</v>
      </c>
      <c r="D17" s="4" t="inlineStr">
        <is>
          <t>Non vendu (saisie, police, staff)</t>
        </is>
      </c>
      <c r="E17" s="4" t="n"/>
    </row>
    <row r="18">
      <c r="A18" s="2" t="inlineStr">
        <is>
          <t>Finition Fatal Incursion</t>
        </is>
      </c>
      <c r="B18" s="2" t="inlineStr">
        <is>
          <t>at_skin_fatalincursion</t>
        </is>
      </c>
      <c r="C18" s="2" t="n">
        <v>0.05</v>
      </c>
      <c r="D18" s="2" t="inlineStr">
        <is>
          <t>Non vendu (saisie, police, staff)</t>
        </is>
      </c>
      <c r="E18" s="2" t="n"/>
    </row>
    <row r="19">
      <c r="A19" s="4" t="inlineStr">
        <is>
          <t>Finition Hate</t>
        </is>
      </c>
      <c r="B19" s="4" t="inlineStr">
        <is>
          <t>at_skin_hate</t>
        </is>
      </c>
      <c r="C19" s="4" t="n">
        <v>0.05</v>
      </c>
      <c r="D19" s="4" t="inlineStr">
        <is>
          <t>Non vendu (saisie, police, staff)</t>
        </is>
      </c>
      <c r="E19" s="4" t="n"/>
    </row>
    <row r="20">
      <c r="A20" s="2" t="inlineStr">
        <is>
          <t>Finition King</t>
        </is>
      </c>
      <c r="B20" s="2" t="inlineStr">
        <is>
          <t>at_skin_king</t>
        </is>
      </c>
      <c r="C20" s="2" t="n">
        <v>0.05</v>
      </c>
      <c r="D20" s="2" t="inlineStr">
        <is>
          <t>Non vendu (saisie, police, staff)</t>
        </is>
      </c>
      <c r="E20" s="2" t="n"/>
    </row>
    <row r="21">
      <c r="A21" s="4" t="inlineStr">
        <is>
          <t>Finition Love</t>
        </is>
      </c>
      <c r="B21" s="4" t="inlineStr">
        <is>
          <t>at_skin_love</t>
        </is>
      </c>
      <c r="C21" s="4" t="n">
        <v>0.05</v>
      </c>
      <c r="D21" s="4" t="inlineStr">
        <is>
          <t>Non vendu (saisie, police, staff)</t>
        </is>
      </c>
      <c r="E21" s="4" t="n"/>
    </row>
    <row r="22">
      <c r="A22" s="2" t="inlineStr">
        <is>
          <t>Finition Lucha Libre</t>
        </is>
      </c>
      <c r="B22" s="2" t="inlineStr">
        <is>
          <t>at_skin_luchalibre</t>
        </is>
      </c>
      <c r="C22" s="2" t="n">
        <v>0.05</v>
      </c>
      <c r="D22" s="2" t="inlineStr">
        <is>
          <t>Non vendu (saisie, police, staff)</t>
        </is>
      </c>
      <c r="E22" s="2" t="n"/>
    </row>
    <row r="23">
      <c r="A23" s="4" t="inlineStr">
        <is>
          <t>Finition Perseus</t>
        </is>
      </c>
      <c r="B23" s="4" t="inlineStr">
        <is>
          <t>at_skin_perseus</t>
        </is>
      </c>
      <c r="C23" s="4" t="n">
        <v>0.05</v>
      </c>
      <c r="D23" s="4" t="inlineStr">
        <is>
          <t>Non vendu (saisie, police, staff)</t>
        </is>
      </c>
      <c r="E23" s="4" t="n"/>
    </row>
    <row r="24">
      <c r="A24" s="2" t="inlineStr">
        <is>
          <t>Finition Pimp</t>
        </is>
      </c>
      <c r="B24" s="2" t="inlineStr">
        <is>
          <t>at_skin_pimp</t>
        </is>
      </c>
      <c r="C24" s="2" t="n">
        <v>0.05</v>
      </c>
      <c r="D24" s="2" t="inlineStr">
        <is>
          <t>Non vendu (saisie, police, staff)</t>
        </is>
      </c>
      <c r="E24" s="2" t="n"/>
    </row>
    <row r="25">
      <c r="A25" s="4" t="inlineStr">
        <is>
          <t>Finition Player</t>
        </is>
      </c>
      <c r="B25" s="4" t="inlineStr">
        <is>
          <t>at_skin_player</t>
        </is>
      </c>
      <c r="C25" s="4" t="n">
        <v>0.05</v>
      </c>
      <c r="D25" s="4" t="inlineStr">
        <is>
          <t>Non vendu (saisie, police, staff)</t>
        </is>
      </c>
      <c r="E25" s="4" t="n"/>
    </row>
    <row r="26">
      <c r="A26" s="2" t="inlineStr">
        <is>
          <t>Finition Sessanta</t>
        </is>
      </c>
      <c r="B26" s="2" t="inlineStr">
        <is>
          <t>at_skin_sessanta</t>
        </is>
      </c>
      <c r="C26" s="2" t="n">
        <v>0.05</v>
      </c>
      <c r="D26" s="2" t="inlineStr">
        <is>
          <t>Non vendu (saisie, police, staff)</t>
        </is>
      </c>
      <c r="E26" s="2" t="n"/>
    </row>
    <row r="27">
      <c r="A27" s="4" t="inlineStr">
        <is>
          <t>Finition VIP</t>
        </is>
      </c>
      <c r="B27" s="4" t="inlineStr">
        <is>
          <t>at_skin_vip</t>
        </is>
      </c>
      <c r="C27" s="4" t="n">
        <v>0.05</v>
      </c>
      <c r="D27" s="4" t="inlineStr">
        <is>
          <t>Non vendu (saisie, police, staff)</t>
        </is>
      </c>
      <c r="E27" s="4" t="n"/>
    </row>
    <row r="28">
      <c r="A28" s="2" t="inlineStr">
        <is>
          <t>Finition Vagos</t>
        </is>
      </c>
      <c r="B28" s="2" t="inlineStr">
        <is>
          <t>at_skin_vagos</t>
        </is>
      </c>
      <c r="C28" s="2" t="n">
        <v>0.05</v>
      </c>
      <c r="D28" s="2" t="inlineStr">
        <is>
          <t>Non vendu (saisie, police, staff)</t>
        </is>
      </c>
      <c r="E28" s="2" t="n"/>
    </row>
    <row r="29">
      <c r="A29" s="4" t="inlineStr">
        <is>
          <t>Finition bois</t>
        </is>
      </c>
      <c r="B29" s="4" t="inlineStr">
        <is>
          <t>at_skin_wood</t>
        </is>
      </c>
      <c r="C29" s="4" t="n">
        <v>0.05</v>
      </c>
      <c r="D29" s="4" t="inlineStr">
        <is>
          <t>Non vendu (saisie, police, staff)</t>
        </is>
      </c>
      <c r="E29" s="4" t="n"/>
    </row>
    <row r="30">
      <c r="A30" s="2" t="inlineStr">
        <is>
          <t>Finition camouflage</t>
        </is>
      </c>
      <c r="B30" s="2" t="inlineStr">
        <is>
          <t>at_skin_camo</t>
        </is>
      </c>
      <c r="C30" s="2" t="n">
        <v>0.05</v>
      </c>
      <c r="D30" s="2" t="inlineStr">
        <is>
          <t>Non vendu (saisie, police, staff)</t>
        </is>
      </c>
      <c r="E30" s="2" t="n"/>
    </row>
    <row r="31">
      <c r="A31" s="4" t="inlineStr">
        <is>
          <t>Finition coups de pinceau</t>
        </is>
      </c>
      <c r="B31" s="4" t="inlineStr">
        <is>
          <t>at_skin_brushstroke</t>
        </is>
      </c>
      <c r="C31" s="4" t="n">
        <v>0.05</v>
      </c>
      <c r="D31" s="4" t="inlineStr">
        <is>
          <t>Non vendu (saisie, police, staff)</t>
        </is>
      </c>
      <c r="E31" s="4" t="n"/>
    </row>
    <row r="32">
      <c r="A32" s="2" t="inlineStr">
        <is>
          <t>Finition crâne</t>
        </is>
      </c>
      <c r="B32" s="2" t="inlineStr">
        <is>
          <t>at_skin_skull</t>
        </is>
      </c>
      <c r="C32" s="2" t="n">
        <v>0.05</v>
      </c>
      <c r="D32" s="2" t="inlineStr">
        <is>
          <t>Non vendu (saisie, police, staff)</t>
        </is>
      </c>
      <c r="E32" s="2" t="n"/>
    </row>
    <row r="33">
      <c r="A33" s="4" t="inlineStr">
        <is>
          <t>Finition diamant</t>
        </is>
      </c>
      <c r="B33" s="4" t="inlineStr">
        <is>
          <t>at_skin_diamond</t>
        </is>
      </c>
      <c r="C33" s="4" t="n">
        <v>0.05</v>
      </c>
      <c r="D33" s="4" t="inlineStr">
        <is>
          <t>Non vendu (saisie, police, staff)</t>
        </is>
      </c>
      <c r="E33" s="4" t="n"/>
    </row>
    <row r="34">
      <c r="A34" s="2" t="inlineStr">
        <is>
          <t>Finition dollar</t>
        </is>
      </c>
      <c r="B34" s="2" t="inlineStr">
        <is>
          <t>at_skin_dollar</t>
        </is>
      </c>
      <c r="C34" s="2" t="n">
        <v>0.05</v>
      </c>
      <c r="D34" s="2" t="inlineStr">
        <is>
          <t>Non vendu (saisie, police, staff)</t>
        </is>
      </c>
      <c r="E34" s="2" t="n"/>
    </row>
    <row r="35">
      <c r="A35" s="4" t="inlineStr">
        <is>
          <t>Finition festive</t>
        </is>
      </c>
      <c r="B35" s="4" t="inlineStr">
        <is>
          <t>at_skin_festive</t>
        </is>
      </c>
      <c r="C35" s="4" t="n">
        <v>0.05</v>
      </c>
      <c r="D35" s="4" t="inlineStr">
        <is>
          <t>Non vendu (saisie, police, staff)</t>
        </is>
      </c>
      <c r="E35" s="4" t="n"/>
    </row>
    <row r="36">
      <c r="A36" s="2" t="inlineStr">
        <is>
          <t>Finition forêt</t>
        </is>
      </c>
      <c r="B36" s="2" t="inlineStr">
        <is>
          <t>at_skin_woodland</t>
        </is>
      </c>
      <c r="C36" s="2" t="n">
        <v>0.05</v>
      </c>
      <c r="D36" s="2" t="inlineStr">
        <is>
          <t>Non vendu (saisie, police, staff)</t>
        </is>
      </c>
      <c r="E36" s="2" t="n"/>
    </row>
    <row r="37">
      <c r="A37" s="4" t="inlineStr">
        <is>
          <t>Finition garde du corps</t>
        </is>
      </c>
      <c r="B37" s="4" t="inlineStr">
        <is>
          <t>at_skin_bodyguard</t>
        </is>
      </c>
      <c r="C37" s="4" t="n">
        <v>0.05</v>
      </c>
      <c r="D37" s="4" t="inlineStr">
        <is>
          <t>Non vendu (saisie, police, staff)</t>
        </is>
      </c>
      <c r="E37" s="4" t="n"/>
    </row>
    <row r="38">
      <c r="A38" s="2" t="inlineStr">
        <is>
          <t>Finition géométrique</t>
        </is>
      </c>
      <c r="B38" s="2" t="inlineStr">
        <is>
          <t>at_skin_geometric</t>
        </is>
      </c>
      <c r="C38" s="2" t="n">
        <v>0.05</v>
      </c>
      <c r="D38" s="2" t="inlineStr">
        <is>
          <t>Non vendu (saisie, police, staff)</t>
        </is>
      </c>
      <c r="E38" s="2" t="n"/>
    </row>
    <row r="39">
      <c r="A39" s="4" t="inlineStr">
        <is>
          <t>Finition impacts</t>
        </is>
      </c>
      <c r="B39" s="4" t="inlineStr">
        <is>
          <t>at_skin_bulletholes</t>
        </is>
      </c>
      <c r="C39" s="4" t="n">
        <v>0.05</v>
      </c>
      <c r="D39" s="4" t="inlineStr">
        <is>
          <t>Non vendu (saisie, police, staff)</t>
        </is>
      </c>
      <c r="E39" s="4" t="n"/>
    </row>
    <row r="40">
      <c r="A40" s="2" t="inlineStr">
        <is>
          <t>Finition luxe</t>
        </is>
      </c>
      <c r="B40" s="2" t="inlineStr">
        <is>
          <t>at_skin_luxe</t>
        </is>
      </c>
      <c r="C40" s="2" t="n">
        <v>0.05</v>
      </c>
      <c r="D40" s="2" t="inlineStr">
        <is>
          <t>Non vendu (saisie, police, staff)</t>
        </is>
      </c>
      <c r="E40" s="2" t="n"/>
    </row>
    <row r="41">
      <c r="A41" s="4" t="inlineStr">
        <is>
          <t>Finition léopard</t>
        </is>
      </c>
      <c r="B41" s="4" t="inlineStr">
        <is>
          <t>at_skin_leopard</t>
        </is>
      </c>
      <c r="C41" s="4" t="n">
        <v>0.05</v>
      </c>
      <c r="D41" s="4" t="inlineStr">
        <is>
          <t>Non vendu (saisie, police, staff)</t>
        </is>
      </c>
      <c r="E41" s="4" t="n"/>
    </row>
    <row r="42">
      <c r="A42" s="2" t="inlineStr">
        <is>
          <t>Finition mur</t>
        </is>
      </c>
      <c r="B42" s="2" t="inlineStr">
        <is>
          <t>at_skin_wall</t>
        </is>
      </c>
      <c r="C42" s="2" t="n">
        <v>0.05</v>
      </c>
      <c r="D42" s="2" t="inlineStr">
        <is>
          <t>Non vendu (saisie, police, staff)</t>
        </is>
      </c>
      <c r="E42" s="2" t="n"/>
    </row>
    <row r="43">
      <c r="A43" s="4" t="inlineStr">
        <is>
          <t>Finition métal</t>
        </is>
      </c>
      <c r="B43" s="4" t="inlineStr">
        <is>
          <t>at_skin_metal</t>
        </is>
      </c>
      <c r="C43" s="4" t="n">
        <v>0.05</v>
      </c>
      <c r="D43" s="4" t="inlineStr">
        <is>
          <t>Non vendu (saisie, police, staff)</t>
        </is>
      </c>
      <c r="E43" s="4" t="n"/>
    </row>
    <row r="44">
      <c r="A44" s="2" t="inlineStr">
        <is>
          <t>Finition nacre</t>
        </is>
      </c>
      <c r="B44" s="2" t="inlineStr">
        <is>
          <t>at_skin_pearl</t>
        </is>
      </c>
      <c r="C44" s="2" t="n">
        <v>0.05</v>
      </c>
      <c r="D44" s="2" t="inlineStr">
        <is>
          <t>Non vendu (saisie, police, staff)</t>
        </is>
      </c>
      <c r="E44" s="2" t="n"/>
    </row>
    <row r="45">
      <c r="A45" s="4" t="inlineStr">
        <is>
          <t>Finition patriotique</t>
        </is>
      </c>
      <c r="B45" s="4" t="inlineStr">
        <is>
          <t>at_skin_patriotic</t>
        </is>
      </c>
      <c r="C45" s="4" t="n">
        <v>0.05</v>
      </c>
      <c r="D45" s="4" t="inlineStr">
        <is>
          <t>Non vendu (saisie, police, staff)</t>
        </is>
      </c>
      <c r="E45" s="4" t="n"/>
    </row>
    <row r="46">
      <c r="A46" s="2" t="inlineStr">
        <is>
          <t>Finition psychédélique</t>
        </is>
      </c>
      <c r="B46" s="2" t="inlineStr">
        <is>
          <t>at_skin_trippy</t>
        </is>
      </c>
      <c r="C46" s="2" t="n">
        <v>0.05</v>
      </c>
      <c r="D46" s="2" t="inlineStr">
        <is>
          <t>Non vendu (saisie, police, staff)</t>
        </is>
      </c>
      <c r="E46" s="2" t="n"/>
    </row>
    <row r="47">
      <c r="A47" s="4" t="inlineStr">
        <is>
          <t>Finition sécurité</t>
        </is>
      </c>
      <c r="B47" s="4" t="inlineStr">
        <is>
          <t>at_skin_security</t>
        </is>
      </c>
      <c r="C47" s="4" t="n">
        <v>0.05</v>
      </c>
      <c r="D47" s="4" t="inlineStr">
        <is>
          <t>Non vendu (saisie, police, staff)</t>
        </is>
      </c>
      <c r="E47" s="4" t="n"/>
    </row>
    <row r="48">
      <c r="A48" s="2" t="inlineStr">
        <is>
          <t>Finition tie-dye</t>
        </is>
      </c>
      <c r="B48" s="2" t="inlineStr">
        <is>
          <t>at_skin_tiedye</t>
        </is>
      </c>
      <c r="C48" s="2" t="n">
        <v>0.05</v>
      </c>
      <c r="D48" s="2" t="inlineStr">
        <is>
          <t>Non vendu (saisie, police, staff)</t>
        </is>
      </c>
      <c r="E48" s="2" t="n"/>
    </row>
    <row r="49">
      <c r="A49" s="4" t="inlineStr">
        <is>
          <t>Finition zèbre</t>
        </is>
      </c>
      <c r="B49" s="4" t="inlineStr">
        <is>
          <t>at_skin_zebra</t>
        </is>
      </c>
      <c r="C49" s="4" t="n">
        <v>0.05</v>
      </c>
      <c r="D49" s="4" t="inlineStr">
        <is>
          <t>Non vendu (saisie, police, staff)</t>
        </is>
      </c>
      <c r="E49" s="4" t="n"/>
    </row>
    <row r="50">
      <c r="A50" s="2" t="inlineStr">
        <is>
          <t>Finition éclaboussures</t>
        </is>
      </c>
      <c r="B50" s="2" t="inlineStr">
        <is>
          <t>at_skin_splatter</t>
        </is>
      </c>
      <c r="C50" s="2" t="n">
        <v>0.05</v>
      </c>
      <c r="D50" s="2" t="inlineStr">
        <is>
          <t>Non vendu (saisie, police, staff)</t>
        </is>
      </c>
      <c r="E50" s="2" t="n"/>
    </row>
    <row r="51">
      <c r="A51" s="4" t="inlineStr">
        <is>
          <t>Frein de bouche carré</t>
        </is>
      </c>
      <c r="B51" s="4" t="inlineStr">
        <is>
          <t>at_muzzle_squared</t>
        </is>
      </c>
      <c r="C51" s="4" t="n">
        <v>0.08</v>
      </c>
      <c r="D51" s="4" t="inlineStr">
        <is>
          <t>Non vendu (saisie, police, staff)</t>
        </is>
      </c>
      <c r="E51" s="4" t="n"/>
    </row>
    <row r="52">
      <c r="A52" s="2" t="inlineStr">
        <is>
          <t>Frein de bouche de précision</t>
        </is>
      </c>
      <c r="B52" s="2" t="inlineStr">
        <is>
          <t>at_muzzle_precision</t>
        </is>
      </c>
      <c r="C52" s="2" t="n">
        <v>0.08</v>
      </c>
      <c r="D52" s="2" t="inlineStr">
        <is>
          <t>Non vendu (saisie, police, staff)</t>
        </is>
      </c>
      <c r="E52" s="2" t="n"/>
    </row>
    <row r="53">
      <c r="A53" s="4" t="inlineStr">
        <is>
          <t>Frein de bouche fendu</t>
        </is>
      </c>
      <c r="B53" s="4" t="inlineStr">
        <is>
          <t>at_muzzle_split</t>
        </is>
      </c>
      <c r="C53" s="4" t="n">
        <v>0.08</v>
      </c>
      <c r="D53" s="4" t="inlineStr">
        <is>
          <t>Non vendu (saisie, police, staff)</t>
        </is>
      </c>
      <c r="E53" s="4" t="n"/>
    </row>
    <row r="54">
      <c r="A54" s="2" t="inlineStr">
        <is>
          <t>Frein de bouche incliné</t>
        </is>
      </c>
      <c r="B54" s="2" t="inlineStr">
        <is>
          <t>at_muzzle_slanted</t>
        </is>
      </c>
      <c r="C54" s="2" t="n">
        <v>0.08</v>
      </c>
      <c r="D54" s="2" t="inlineStr">
        <is>
          <t>Non vendu (saisie, police, staff)</t>
        </is>
      </c>
      <c r="E54" s="2" t="n"/>
    </row>
    <row r="55">
      <c r="A55" s="4" t="inlineStr">
        <is>
          <t>Frein de bouche large</t>
        </is>
      </c>
      <c r="B55" s="4" t="inlineStr">
        <is>
          <t>at_muzzle_fat</t>
        </is>
      </c>
      <c r="C55" s="4" t="n">
        <v>0.08</v>
      </c>
      <c r="D55" s="4" t="inlineStr">
        <is>
          <t>Non vendu (saisie, police, staff)</t>
        </is>
      </c>
      <c r="E55" s="4" t="n"/>
    </row>
    <row r="56">
      <c r="A56" s="2" t="inlineStr">
        <is>
          <t>Frein de bouche lourd</t>
        </is>
      </c>
      <c r="B56" s="2" t="inlineStr">
        <is>
          <t>at_muzzle_heavy</t>
        </is>
      </c>
      <c r="C56" s="2" t="n">
        <v>0.08</v>
      </c>
      <c r="D56" s="2" t="inlineStr">
        <is>
          <t>Non vendu (saisie, police, staff)</t>
        </is>
      </c>
      <c r="E56" s="2" t="n"/>
    </row>
    <row r="57">
      <c r="A57" s="4" t="inlineStr">
        <is>
          <t>Frein de bouche plat</t>
        </is>
      </c>
      <c r="B57" s="4" t="inlineStr">
        <is>
          <t>at_muzzle_flat</t>
        </is>
      </c>
      <c r="C57" s="4" t="n">
        <v>0.08</v>
      </c>
      <c r="D57" s="4" t="inlineStr">
        <is>
          <t>Non vendu (saisie, police, staff)</t>
        </is>
      </c>
      <c r="E57" s="4" t="n"/>
    </row>
    <row r="58">
      <c r="A58" s="2" t="inlineStr">
        <is>
          <t>Frein de bouche tactique</t>
        </is>
      </c>
      <c r="B58" s="2" t="inlineStr">
        <is>
          <t>at_muzzle_tactical</t>
        </is>
      </c>
      <c r="C58" s="2" t="n">
        <v>0.08</v>
      </c>
      <c r="D58" s="2" t="inlineStr">
        <is>
          <t>Non vendu (saisie, police, staff)</t>
        </is>
      </c>
      <c r="E58" s="2" t="n"/>
    </row>
    <row r="59">
      <c r="A59" s="4" t="inlineStr">
        <is>
          <t>Frein de bouche évasé</t>
        </is>
      </c>
      <c r="B59" s="4" t="inlineStr">
        <is>
          <t>at_muzzle_bell</t>
        </is>
      </c>
      <c r="C59" s="4" t="n">
        <v>0.08</v>
      </c>
      <c r="D59" s="4" t="inlineStr">
        <is>
          <t>Non vendu (saisie, police, staff)</t>
        </is>
      </c>
      <c r="E59" s="4" t="n"/>
    </row>
    <row r="60">
      <c r="A60" s="2" t="inlineStr">
        <is>
          <t>Grande lunette</t>
        </is>
      </c>
      <c r="B60" s="2" t="inlineStr">
        <is>
          <t>at_scope_large</t>
        </is>
      </c>
      <c r="C60" s="2" t="n">
        <v>0.28</v>
      </c>
      <c r="D60" s="2" t="inlineStr">
        <is>
          <t>Non vendu (saisie, police, staff)</t>
        </is>
      </c>
      <c r="E60" s="2" t="n"/>
    </row>
    <row r="61">
      <c r="A61" s="4" t="inlineStr">
        <is>
          <t>Lampe tactique</t>
        </is>
      </c>
      <c r="B61" s="4" t="inlineStr">
        <is>
          <t>at_flashlight</t>
        </is>
      </c>
      <c r="C61" s="4" t="n">
        <v>0.12</v>
      </c>
      <c r="D61" s="4" t="inlineStr">
        <is>
          <t>Ammu-Nation 350 $ (permis de port d'arme)</t>
        </is>
      </c>
      <c r="E61" s="5" t="n">
        <v>350</v>
      </c>
    </row>
    <row r="62">
      <c r="A62" s="2" t="inlineStr">
        <is>
          <t>Lunette avancée</t>
        </is>
      </c>
      <c r="B62" s="2" t="inlineStr">
        <is>
          <t>at_scope_advanced</t>
        </is>
      </c>
      <c r="C62" s="2" t="n">
        <v>0.28</v>
      </c>
      <c r="D62" s="2" t="inlineStr">
        <is>
          <t>Non vendu (saisie, police, staff)</t>
        </is>
      </c>
      <c r="E62" s="2" t="n"/>
    </row>
    <row r="63">
      <c r="A63" s="4" t="inlineStr">
        <is>
          <t>Lunette moyenne</t>
        </is>
      </c>
      <c r="B63" s="4" t="inlineStr">
        <is>
          <t>at_scope_medium</t>
        </is>
      </c>
      <c r="C63" s="4" t="n">
        <v>0.28</v>
      </c>
      <c r="D63" s="4" t="inlineStr">
        <is>
          <t>Non vendu (saisie, police, staff)</t>
        </is>
      </c>
      <c r="E63" s="4" t="n"/>
    </row>
    <row r="64">
      <c r="A64" s="2" t="inlineStr">
        <is>
          <t>Lunette thermique</t>
        </is>
      </c>
      <c r="B64" s="2" t="inlineStr">
        <is>
          <t>at_scope_thermal</t>
        </is>
      </c>
      <c r="C64" s="2" t="n">
        <v>0.42</v>
      </c>
      <c r="D64" s="2" t="inlineStr">
        <is>
          <t>Non vendu (saisie, police, staff)</t>
        </is>
      </c>
      <c r="E64" s="2" t="n"/>
    </row>
    <row r="65">
      <c r="A65" s="4" t="inlineStr">
        <is>
          <t>Lunette à vision nocturne</t>
        </is>
      </c>
      <c r="B65" s="4" t="inlineStr">
        <is>
          <t>at_scope_nv</t>
        </is>
      </c>
      <c r="C65" s="4" t="n">
        <v>0.42</v>
      </c>
      <c r="D65" s="4" t="inlineStr">
        <is>
          <t>Non vendu (saisie, police, staff)</t>
        </is>
      </c>
      <c r="E65" s="4" t="n"/>
    </row>
    <row r="66">
      <c r="A66" s="2" t="inlineStr">
        <is>
          <t>Petite lunette</t>
        </is>
      </c>
      <c r="B66" s="2" t="inlineStr">
        <is>
          <t>at_scope_small</t>
        </is>
      </c>
      <c r="C66" s="2" t="n">
        <v>0.28</v>
      </c>
      <c r="D66" s="2" t="inlineStr">
        <is>
          <t>Non vendu (saisie, police, staff)</t>
        </is>
      </c>
      <c r="E66" s="2" t="n"/>
    </row>
    <row r="67">
      <c r="A67" s="4" t="inlineStr">
        <is>
          <t>Poignée</t>
        </is>
      </c>
      <c r="B67" s="4" t="inlineStr">
        <is>
          <t>at_grip</t>
        </is>
      </c>
      <c r="C67" s="4" t="n">
        <v>0.28</v>
      </c>
      <c r="D67" s="4" t="inlineStr">
        <is>
          <t>Non vendu (saisie, police, staff)</t>
        </is>
      </c>
      <c r="E67" s="4" t="n"/>
    </row>
    <row r="68">
      <c r="A68" s="2" t="inlineStr">
        <is>
          <t>Silencieux</t>
        </is>
      </c>
      <c r="B68" s="2" t="inlineStr">
        <is>
          <t>at_suppressor_light</t>
        </is>
      </c>
      <c r="C68" s="2" t="n">
        <v>0.28</v>
      </c>
      <c r="D68" s="2" t="inlineStr">
        <is>
          <t>Marché noir 8 000 $ sale, stock 4/jour</t>
        </is>
      </c>
      <c r="E68" s="3" t="n">
        <v>8000</v>
      </c>
    </row>
    <row r="69">
      <c r="A69" s="4" t="inlineStr">
        <is>
          <t>Silencieux tactique</t>
        </is>
      </c>
      <c r="B69" s="4" t="inlineStr">
        <is>
          <t>at_suppressor_heavy</t>
        </is>
      </c>
      <c r="C69" s="4" t="n">
        <v>0.28</v>
      </c>
      <c r="D69" s="4" t="inlineStr">
        <is>
          <t>Non vendu (saisie, police, staff)</t>
        </is>
      </c>
      <c r="E69" s="4" t="n"/>
    </row>
    <row r="70">
      <c r="A70" s="2" t="inlineStr">
        <is>
          <t>Viseur holographique</t>
        </is>
      </c>
      <c r="B70" s="2" t="inlineStr">
        <is>
          <t>at_scope_holo</t>
        </is>
      </c>
      <c r="C70" s="2" t="n">
        <v>0.28</v>
      </c>
      <c r="D70" s="2" t="inlineStr">
        <is>
          <t>Non vendu (saisie, police, staff)</t>
        </is>
      </c>
      <c r="E70" s="2" t="n"/>
    </row>
    <row r="71">
      <c r="A71" s="4" t="inlineStr">
        <is>
          <t>Viseur macro</t>
        </is>
      </c>
      <c r="B71" s="4" t="inlineStr">
        <is>
          <t>at_scope_macro</t>
        </is>
      </c>
      <c r="C71" s="4" t="n">
        <v>0.28</v>
      </c>
      <c r="D71" s="4" t="inlineStr">
        <is>
          <t>Non vendu (saisie, police, staff)</t>
        </is>
      </c>
      <c r="E71" s="4" t="n"/>
    </row>
  </sheetData>
  <autoFilter ref="A1:E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6" customWidth="1" min="1" max="1"/>
    <col width="18" customWidth="1" min="2" max="2"/>
  </cols>
  <sheetData>
    <row r="1">
      <c r="A1" s="7" t="inlineStr">
        <is>
          <t>RoadLine RP · Armes, munitions et accessoires (résumé)</t>
        </is>
      </c>
    </row>
    <row r="3">
      <c r="A3" s="8" t="inlineStr">
        <is>
          <t>Armes</t>
        </is>
      </c>
      <c r="B3" s="9">
        <f>COUNTA(Armes!B2:B109)</f>
        <v/>
      </c>
    </row>
    <row r="4">
      <c r="A4" s="8" t="inlineStr">
        <is>
          <t>Munitions</t>
        </is>
      </c>
      <c r="B4" s="9">
        <f>COUNTA(Munitions!B2:B20)</f>
        <v/>
      </c>
    </row>
    <row r="5">
      <c r="A5" s="8" t="inlineStr">
        <is>
          <t>Accessoires</t>
        </is>
      </c>
      <c r="B5" s="9">
        <f>COUNTA(Accessoires!B2:B71)</f>
        <v/>
      </c>
    </row>
    <row r="6">
      <c r="A6" s="8" t="inlineStr">
        <is>
          <t>Armes vendues à l'Ammu-Nation</t>
        </is>
      </c>
      <c r="B6" s="9">
        <f>COUNTIF(Armes!F2:F109,"Ammu-Nation*")</f>
        <v/>
      </c>
    </row>
    <row r="7">
      <c r="A7" s="8" t="inlineStr">
        <is>
          <t>Armes vendues au marché noir</t>
        </is>
      </c>
      <c r="B7" s="9">
        <f>COUNTIF(Armes!F2:F109,"*Marché noir*")</f>
        <v/>
      </c>
    </row>
    <row r="8">
      <c r="A8" s="8" t="inlineStr">
        <is>
          <t>Armes non vendues (saisie, police, staff)</t>
        </is>
      </c>
      <c r="B8" s="9">
        <f>COUNTIF(Armes!F2:F109,"Non vendu*")</f>
        <v/>
      </c>
    </row>
    <row r="9">
      <c r="A9" s="8" t="inlineStr"/>
      <c r="B9" s="10" t="n"/>
    </row>
    <row r="10">
      <c r="A10" s="8" t="inlineStr">
        <is>
          <t>Arme blanche</t>
        </is>
      </c>
      <c r="B10" s="9">
        <f>COUNTIF(Armes!C2:C109,"Arme blanche")</f>
        <v/>
      </c>
    </row>
    <row r="11">
      <c r="A11" s="8" t="inlineStr">
        <is>
          <t>Arme lourde</t>
        </is>
      </c>
      <c r="B11" s="9">
        <f>COUNTIF(Armes!C2:C109,"Arme lourde")</f>
        <v/>
      </c>
    </row>
    <row r="12">
      <c r="A12" s="8" t="inlineStr">
        <is>
          <t>Autre</t>
        </is>
      </c>
      <c r="B12" s="9">
        <f>COUNTIF(Armes!C2:C109,"Autre")</f>
        <v/>
      </c>
    </row>
    <row r="13">
      <c r="A13" s="8" t="inlineStr">
        <is>
          <t>Fusil d'assaut</t>
        </is>
      </c>
      <c r="B13" s="9">
        <f>COUNTIF(Armes!C2:C109,"Fusil d'assaut")</f>
        <v/>
      </c>
    </row>
    <row r="14">
      <c r="A14" s="8" t="inlineStr">
        <is>
          <t>Fusil d'assaut (Mk II)</t>
        </is>
      </c>
      <c r="B14" s="9">
        <f>COUNTIF(Armes!C2:C109,"Fusil d'assaut (Mk II)")</f>
        <v/>
      </c>
    </row>
    <row r="15">
      <c r="A15" s="8" t="inlineStr">
        <is>
          <t>Fusil de précision</t>
        </is>
      </c>
      <c r="B15" s="9">
        <f>COUNTIF(Armes!C2:C109,"Fusil de précision")</f>
        <v/>
      </c>
    </row>
    <row r="16">
      <c r="A16" s="8" t="inlineStr">
        <is>
          <t>Fusil de précision (Mk II)</t>
        </is>
      </c>
      <c r="B16" s="9">
        <f>COUNTIF(Armes!C2:C109,"Fusil de précision (Mk II)")</f>
        <v/>
      </c>
    </row>
    <row r="17">
      <c r="A17" s="8" t="inlineStr">
        <is>
          <t>Fusil à pompe</t>
        </is>
      </c>
      <c r="B17" s="9">
        <f>COUNTIF(Armes!C2:C109,"Fusil à pompe")</f>
        <v/>
      </c>
    </row>
    <row r="18">
      <c r="A18" s="8" t="inlineStr">
        <is>
          <t>Fusil à pompe (Mk II)</t>
        </is>
      </c>
      <c r="B18" s="9">
        <f>COUNTIF(Armes!C2:C109,"Fusil à pompe (Mk II)")</f>
        <v/>
      </c>
    </row>
    <row r="19">
      <c r="A19" s="8" t="inlineStr">
        <is>
          <t>Mitrailleuse</t>
        </is>
      </c>
      <c r="B19" s="9">
        <f>COUNTIF(Armes!C2:C109,"Mitrailleuse")</f>
        <v/>
      </c>
    </row>
    <row r="20">
      <c r="A20" s="8" t="inlineStr">
        <is>
          <t>Mitrailleuse (Mk II)</t>
        </is>
      </c>
      <c r="B20" s="9">
        <f>COUNTIF(Armes!C2:C109,"Mitrailleuse (Mk II)")</f>
        <v/>
      </c>
    </row>
    <row r="21">
      <c r="A21" s="8" t="inlineStr">
        <is>
          <t>Outil</t>
        </is>
      </c>
      <c r="B21" s="9">
        <f>COUNTIF(Armes!C2:C109,"Outil")</f>
        <v/>
      </c>
    </row>
    <row r="22">
      <c r="A22" s="8" t="inlineStr">
        <is>
          <t>Pistolet</t>
        </is>
      </c>
      <c r="B22" s="9">
        <f>COUNTIF(Armes!C2:C109,"Pistolet")</f>
        <v/>
      </c>
    </row>
    <row r="23">
      <c r="A23" s="8" t="inlineStr">
        <is>
          <t>Pistolet (Mk II)</t>
        </is>
      </c>
      <c r="B23" s="9">
        <f>COUNTIF(Armes!C2:C109,"Pistolet (Mk II)")</f>
        <v/>
      </c>
    </row>
    <row r="24">
      <c r="A24" s="8" t="inlineStr">
        <is>
          <t>Pistolet-mitrailleur</t>
        </is>
      </c>
      <c r="B24" s="9">
        <f>COUNTIF(Armes!C2:C109,"Pistolet-mitrailleur")</f>
        <v/>
      </c>
    </row>
    <row r="25">
      <c r="A25" s="8" t="inlineStr">
        <is>
          <t>Pistolet-mitrailleur (Mk II)</t>
        </is>
      </c>
      <c r="B25" s="9">
        <f>COUNTIF(Armes!C2:C109,"Pistolet-mitrailleur (Mk II)")</f>
        <v/>
      </c>
    </row>
    <row r="26">
      <c r="A26" s="8" t="inlineStr">
        <is>
          <t>Projectile</t>
        </is>
      </c>
      <c r="B26" s="9">
        <f>COUNTIF(Armes!C2:C109,"Projectile")</f>
        <v/>
      </c>
    </row>
    <row r="28">
      <c r="A28" s="6" t="inlineStr">
        <is>
          <t>Les chiffres de cette feuille sont des formules (COUNTIF / SUMIF…) calculées sur la feuille de données : ils se mettent à jour si tu modifies le tableau.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2026-10-11T16:12:24Z</dcterms:created>
  <dcterms:modified xsi:type="dcterms:W3CDTF">2026-10-11T16:12:24Z</dcterms:modified>
</cp:coreProperties>
</file>